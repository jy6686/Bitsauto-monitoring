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csgsystems-my.sharepoint.com/personal/edwin_karundeng_csgi_com/Documents/CSG Projects/Telstra/Production/excel_template/change/"/>
    </mc:Choice>
  </mc:AlternateContent>
  <xr:revisionPtr revIDLastSave="3" documentId="11_44E6B2E3D81ADAC4C8AECE96A4A6F2F4E3503113" xr6:coauthVersionLast="47" xr6:coauthVersionMax="47" xr10:uidLastSave="{70159018-3D7C-4FC6-9C40-B24BBFEBCFFA}"/>
  <bookViews>
    <workbookView xWindow="-120" yWindow="-120" windowWidth="29040" windowHeight="15840" activeTab="2" xr2:uid="{00000000-000D-0000-FFFF-FFFF00000000}"/>
  </bookViews>
  <sheets>
    <sheet name="Cover Sheet" sheetId="6" r:id="rId1"/>
    <sheet name="Terms &amp; Conditions" sheetId="7" r:id="rId2"/>
    <sheet name="Pricing" sheetId="3" r:id="rId3"/>
    <sheet name="Data" sheetId="5" state="hidden" r:id="rId4"/>
  </sheets>
  <definedNames>
    <definedName name="Change_Mapping_Range">#REF!</definedName>
  </definedNames>
  <calcPr calcI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<sst xmlns="http://schemas.openxmlformats.org/spreadsheetml/2006/main" uniqueCount="2654">
  <si>
    <t>Confidential Pricing</t>
  </si>
  <si>
    <t>International Voice Termination</t>
  </si>
  <si>
    <t>to</t>
  </si>
  <si>
    <t xml:space="preserve">Pricing valid from: </t>
  </si>
  <si>
    <t xml:space="preserve">Your Account Manager: </t>
  </si>
  <si>
    <t>Tel:</t>
  </si>
  <si>
    <t>Fax:</t>
  </si>
  <si>
    <t>E-mail:</t>
  </si>
  <si>
    <t>Confidential Pricing to:</t>
  </si>
  <si>
    <t>for International Voice Termination</t>
  </si>
  <si>
    <t>Terms and Conditions</t>
  </si>
  <si>
    <t xml:space="preserve">Pricing valid from : </t>
  </si>
  <si>
    <t>Rates offered in :</t>
  </si>
  <si>
    <t>Traffic handover point :</t>
  </si>
  <si>
    <t>…………………........……</t>
  </si>
  <si>
    <t>Date:</t>
  </si>
  <si>
    <t xml:space="preserve">Agreed and accepted on behalf of </t>
  </si>
  <si>
    <t>………………………………</t>
  </si>
  <si>
    <t>Name:</t>
  </si>
  <si>
    <t>Title:</t>
  </si>
  <si>
    <t>Destination</t>
  </si>
  <si>
    <t>Vol. Indication</t>
  </si>
  <si>
    <t>min./month</t>
  </si>
  <si>
    <t>Area Code</t>
  </si>
  <si>
    <t>Pricing No:</t>
  </si>
  <si>
    <t>Price increase valid from:</t>
  </si>
  <si>
    <t>Old Price</t>
  </si>
  <si>
    <t>New Price</t>
  </si>
  <si>
    <t>Change</t>
  </si>
  <si>
    <t>Change indicator</t>
  </si>
  <si>
    <t xml:space="preserve">These rates are for International Simple Voice (ISV) and therefore, unless specifically stated, exclude </t>
  </si>
  <si>
    <t xml:space="preserve">all other forms of conveyance without limitation which include Number Translation Services (NTS), </t>
  </si>
  <si>
    <t>Personal Number Services, ISDN, Paging, Mobile and/or any other enhanced service.</t>
  </si>
  <si>
    <t>%%=MasterInfo.carrier_name</t>
  </si>
  <si>
    <t>%%=MasterInfo.REFERENCE</t>
  </si>
  <si>
    <t>%%=SenderInfo.TELEPHONE_NO</t>
  </si>
  <si>
    <t>%%=SenderInfo.FAX_NO</t>
  </si>
  <si>
    <t>%%=SenderInfo.EMAIL_ADDRESS</t>
  </si>
  <si>
    <t>sender first name</t>
  </si>
  <si>
    <t>%%=SenderInfo.FIRST_NAME</t>
  </si>
  <si>
    <t>sender last name</t>
  </si>
  <si>
    <t>%%=SenderInfo.LAST_NAME</t>
  </si>
  <si>
    <t>%%=MasterInfo.CURRENCY_NAME</t>
  </si>
  <si>
    <t>%%=RateInfo.DESTINATION_NAME</t>
  </si>
  <si>
    <t>%%=RateInfo.VOLUME_INDICATION</t>
  </si>
  <si>
    <t>%%=RateInfo.PREVIOUS_RATE</t>
  </si>
  <si>
    <t>%%=RateInfo.RATE</t>
  </si>
  <si>
    <t>pp_name1</t>
  </si>
  <si>
    <t>%%=MasterInfo.PRODUCT_PROPERTY_NAME1</t>
  </si>
  <si>
    <t>unitmsr_short_name1</t>
  </si>
  <si>
    <t>%%=MasterInfo.PRODUCT_PROPERTY_UOM1</t>
  </si>
  <si>
    <t>pp_name2</t>
  </si>
  <si>
    <t>%%=MasterInfo.PRODUCT_PROPERTY_NAME2</t>
  </si>
  <si>
    <t>unitmsr_short_name2</t>
  </si>
  <si>
    <t>%%=MasterInfo.PRODUCT_PROPERTY_UOM2</t>
  </si>
  <si>
    <t>pp_name3</t>
  </si>
  <si>
    <t>%%=MasterInfo.PRODUCT_PROPERTY_NAME3</t>
  </si>
  <si>
    <t>unitmsr_short_name3</t>
  </si>
  <si>
    <t>%%=MasterInfo.PRODUCT_PROPERTY_UOM3</t>
  </si>
  <si>
    <t>pp_name4</t>
  </si>
  <si>
    <t>%%=MasterInfo.PRODUCT_PROPERTY_NAME4</t>
  </si>
  <si>
    <t>unitmsr_short_name4</t>
  </si>
  <si>
    <t>%%=MasterInfo.PRODUCT_PROPERTY_UOM4</t>
  </si>
  <si>
    <t>PPDef1 Hide</t>
  </si>
  <si>
    <t>%%=RateInfo.PRODUCT_PROPERTY_VALUE1</t>
  </si>
  <si>
    <t>%%=RateInfo.PRODUCT_PROPERTY_VALUE2</t>
  </si>
  <si>
    <t>%%=RateInfo.PRODUCT_PROPERTY_VALUE3</t>
  </si>
  <si>
    <t>%%=RateInfo.PRODUCT_PROPERTY_VALUE4</t>
  </si>
  <si>
    <t>Time Type</t>
  </si>
  <si>
    <t>%%=RateInfo.TIME_TYPE_NAME</t>
  </si>
  <si>
    <t>receiver first name</t>
  </si>
  <si>
    <t>%%=ReceiverInfo.FIRST_NAME</t>
  </si>
  <si>
    <t>receiver last name</t>
  </si>
  <si>
    <t>%%=ReceiverInfo.LAST_NAME</t>
  </si>
  <si>
    <t>product_name</t>
  </si>
  <si>
    <t>%%=MasterInfo.PRODUCT_NAME</t>
  </si>
  <si>
    <t>srvlvl_name</t>
  </si>
  <si>
    <t>%%=MasterInfo.country_name</t>
  </si>
  <si>
    <t>Commercial Contact</t>
  </si>
  <si>
    <t>%%=RateInfo.SYMBOLIC_AREA_CODE(Preserve)</t>
  </si>
  <si>
    <t>AS DEFINED</t>
  </si>
  <si>
    <t>Price Valid From</t>
  </si>
  <si>
    <t>%%=RateInfo.VALID_FROM</t>
  </si>
  <si>
    <t>%%=RateInfo.EXTERNAL_COMMENT</t>
  </si>
  <si>
    <t>COMMENTS</t>
  </si>
  <si>
    <t>%%=RateInfo.TIER_RATE_DEFINITION_NAME</t>
  </si>
  <si>
    <t>Billing Increment</t>
  </si>
  <si>
    <t xml:space="preserve">Please find attached Telstra's rate sheet which sets out the rate(s) and billing increment(s) pursuant to our Agreement. </t>
  </si>
  <si>
    <t xml:space="preserve">To confirm receipt, please sign this document and return via fax or email.  </t>
  </si>
  <si>
    <t>The rate(s) and billing increment(s) will become effective regardless of confirmation.</t>
  </si>
  <si>
    <t>Ichibaan Logic Private Limited</t>
  </si>
  <si>
    <t>CLI</t>
  </si>
  <si>
    <t>ASR</t>
  </si>
  <si>
    <t>Direct Connect</t>
  </si>
  <si>
    <t>Roaming</t>
  </si>
  <si>
    <t>AFGHANISTAN</t>
  </si>
  <si>
    <t>STD_S</t>
  </si>
  <si>
    <t>93</t>
  </si>
  <si>
    <t>1/1</t>
  </si>
  <si>
    <t>AFGHANISTAN-MOBILE AT</t>
  </si>
  <si>
    <t>9375</t>
  </si>
  <si>
    <t>AFGHANISTAN-MOBILE AWCC</t>
  </si>
  <si>
    <t>9370-9371</t>
  </si>
  <si>
    <t>True</t>
  </si>
  <si>
    <t>60/1</t>
  </si>
  <si>
    <t>AFGHANISTAN-MOBILE ETISALAT</t>
  </si>
  <si>
    <t>9373; 9378</t>
  </si>
  <si>
    <t>AFGHANISTAN-MOBILE MTN</t>
  </si>
  <si>
    <t>9376-9377</t>
  </si>
  <si>
    <t>60/60</t>
  </si>
  <si>
    <t>AFGHANISTAN-MOBILE ROSHAN</t>
  </si>
  <si>
    <t>9372; 9379</t>
  </si>
  <si>
    <t>AFGHANISTAN-MOBILE SALAM</t>
  </si>
  <si>
    <t>9374</t>
  </si>
  <si>
    <t>ALASKA</t>
  </si>
  <si>
    <t>1907</t>
  </si>
  <si>
    <t>ALBANIA</t>
  </si>
  <si>
    <t>355</t>
  </si>
  <si>
    <t>ALBANIA-CENTRALCOM</t>
  </si>
  <si>
    <t>3554402; 355450; 355466</t>
  </si>
  <si>
    <t>ALBANIA-MOBILE AMC</t>
  </si>
  <si>
    <t>35568</t>
  </si>
  <si>
    <t>true</t>
  </si>
  <si>
    <t>ALBANIA-MOBILE EAGLE</t>
  </si>
  <si>
    <t>35567</t>
  </si>
  <si>
    <t>ALBANIA-MOBILE PLUS</t>
  </si>
  <si>
    <t>35566</t>
  </si>
  <si>
    <t>ALBANIA-MOBILE VODAFONE</t>
  </si>
  <si>
    <t>35569</t>
  </si>
  <si>
    <t>ALGERIA</t>
  </si>
  <si>
    <t>213</t>
  </si>
  <si>
    <t>ALGERIA-ALGER</t>
  </si>
  <si>
    <t>21320-21322</t>
  </si>
  <si>
    <t>ALGERIA-MOBILE OOREDOO</t>
  </si>
  <si>
    <t>2135</t>
  </si>
  <si>
    <t>ALGERIA-MOBILE ORASCOM</t>
  </si>
  <si>
    <t>2137</t>
  </si>
  <si>
    <t>ALGERIA-MOBILE OTHERS</t>
  </si>
  <si>
    <t>2136</t>
  </si>
  <si>
    <t>AMERICAN SAMOA</t>
  </si>
  <si>
    <t>1684</t>
  </si>
  <si>
    <t>AMERICAN SAMOA-MOB ASTCA</t>
  </si>
  <si>
    <t>16847</t>
  </si>
  <si>
    <t>AMERICAN SAMOA-MOB BLUESKY</t>
  </si>
  <si>
    <t>168424-168425; 168427; 168429</t>
  </si>
  <si>
    <t>ANDORRA</t>
  </si>
  <si>
    <t>376</t>
  </si>
  <si>
    <t>ANDORRA-MOBILE</t>
  </si>
  <si>
    <t>3763-3766</t>
  </si>
  <si>
    <t>ANGOLA</t>
  </si>
  <si>
    <t>244</t>
  </si>
  <si>
    <t>ANGOLA-MOBILE AFRICELL</t>
  </si>
  <si>
    <t>24495-24496</t>
  </si>
  <si>
    <t>ANGOLA-MOBILE OTHERS</t>
  </si>
  <si>
    <t>24491; 24499</t>
  </si>
  <si>
    <t>ANGOLA-MOBILE UNITEL</t>
  </si>
  <si>
    <t>24492-24494; 24497</t>
  </si>
  <si>
    <t>ANGUILLA</t>
  </si>
  <si>
    <t>1264</t>
  </si>
  <si>
    <t>ANGUILLA-MOBILE DIGICEL</t>
  </si>
  <si>
    <t>1264581-1264584</t>
  </si>
  <si>
    <t>ANGUILLA-MOBILE OTHER</t>
  </si>
  <si>
    <t>1264235; 1264469; 1264476; 1264536-1264538; 1264543; 1264729; 1264772</t>
  </si>
  <si>
    <t>ANGUILLA-PREM SVC</t>
  </si>
  <si>
    <t>1264539-1264540</t>
  </si>
  <si>
    <t>ANTARCTICA</t>
  </si>
  <si>
    <t>67210-67213</t>
  </si>
  <si>
    <t>ANTARCTICA-AURORA &amp; WILKINS</t>
  </si>
  <si>
    <t>672145</t>
  </si>
  <si>
    <t>ANTIGUA &amp; BARBUDA</t>
  </si>
  <si>
    <t>1268</t>
  </si>
  <si>
    <t>ANTIGUA &amp; BARBUDA-MOB DIGICEL</t>
  </si>
  <si>
    <t>1268713-1268722; 1268724-1268726; 1268732; 1268734; 1268736; 1268783; 1268785; 1268788</t>
  </si>
  <si>
    <t>ANTIGUA &amp; BARBUDA-MOBILE OTHER</t>
  </si>
  <si>
    <t>1268464; 126872; 1268762; 1268764; 126877-126878</t>
  </si>
  <si>
    <t>ARGENTINA</t>
  </si>
  <si>
    <t>54</t>
  </si>
  <si>
    <t>ARGENTINA-BUENOS AIRES</t>
  </si>
  <si>
    <t>5411</t>
  </si>
  <si>
    <t>ARGENTINA-CITIES</t>
  </si>
  <si>
    <t>54221; 54223; 542293; 54230; 54232; 54236-54237; 54249; 54261; 54264; 54266; 54291; 542954; 54299; 54332; 54341-54343; 543461-543462; 543476; 54348; 54351; 54353-54354; 54357-54358; 543624; 54364; 54372; 543783; 54381; 54387</t>
  </si>
  <si>
    <t>ARGENTINA-MOBILE</t>
  </si>
  <si>
    <t>5411200; 54112010-54112011; 54112044-54112048; 541120490; 5411223; 54112240; 5411245-5411249; 541125; 5411260-5411262; 54112810-54112819; 54112823-54112829; 541130; 5411310-5411321; 54113376-54113379; 5411338-5411339; 541134; 5411350-5411351; 54113520-54113525; 54113556-54113559; 5411356-5411359; 541136; 54113700-54113705; 5411371590-5411371592; 541137470; 54113838; 5411384-5411394; 54113950-54113958; 54113992-54113999; 54114020; 54114022-54114031; 54114033-54114039; 5411404; 54114050-54114069; 5411407-5411408; 54114090-54114099; 54114140-54114150; 54114154; 541141550; 541141556-541141558; 54114156-54114159; 5411416-5411417; 54114180-54114189; 5411419; 54114337; 54114377; 54114385; 54114399; 5411440-5411441; 54114420; 54114422; 54114424; 541144256; 54114426-54114427; 54114429-54114430; 54114434-54114440; 54114444-54114449; 54114470-54114472; 54114475; 54114477-54114479; 54114492-54114494; 54114526-54114528; 54114530; 54114536-54114540; 54114550; 54114557-54114562; 54114569; 54114577-54114579; 54114593-54114599; 54114615; 54114673; 541146750-541146751; 541146759; 54114677-54114678; 54114685; 54114818; 54114870; 54114888-54114889; 54114906-54114908; 54114914-54114917; 54114927-54114929; 54114935-54114940; 54114945-54114949; 54114960; 54114967; 54114969; 5411497; 54114980; 54114984-54114985; 54114987; 54114989; 54114995-54114996; 54115100; 54115130; 54115202-54115203; 54115206; 541152070-541152079; 54115209; 54115211; 54115213-54115214; 54115251; 541153300-541153309; 541153810; 541153818-541153819; 54115398-54115399; 54117068-54117071; 541170720-541170724; 54117085-54117087; 542202400-542202401; 542202508-542202509; 542202590-542202593; 542202598-542202599; 542202610-542202614; 542204122-542204124; 54220413; 542204319; 542204700-542204704; 542204720-542204726; 542204759; 542204885-542204889; 542213127-542213128; 54221401; 542214030-542214039; 542214046-542214049; 54221405; 542214070; 542214076-542214079; 542214301-542214309; 54221458; 54221467; 542215003-542215004; 542215100-542215104; 54221653; 542216580-542216582; 542221400; 542221404-542221405; 542221419; 542223400-542223401; 542223450-542223451; 542224450-542224453; 542224525-542224528; 542224610-542224614; 542224616-542224618; 5422246191; 542225454; 542225457-542225458; 542225490; 542225495; 542225500-542225503; 542226400-542226401; 542226450-542226451; 542226485; 542226594; 542226634-542226636; 542227400-542227401; 542227450-542227451; 542229400-542229401; 542229408-542229409; 542229540-542229546; 542233119; 54223401; 542234030-542234039; 542234049; 542234055-542234059; 54223408; 54223457-54223458; 542234590-542234599; 542234604; 542234607; 54223497-54223498; 542235000; 542235002-542235007; 54223501; 54223511-54223513; 54223516-54223517; 54223530-54223539; 54223548-54223553; 54223555-54223560; 54223562-54223565; 54223567-54223575; 54223577-54223578; 542235845-542235849; 54223585-54223586; 54223605-54223624; 54223643; 542236440-542236446; 54223645-54223649; 542236500-542236504; 54223651; 542236526-542236529; 542236561-542236564; 542236645-542236646; 54223665-54223669; 5422367-5422368; 542241400-542241402; 54224141; 542241450-542241451; 542241455-542241459; 542241503; 542242410-542242411; 542242492; 542243427-542243428; 542243499; 542244410-542244412; 542244489; 542245415-542245419; 542245490; 542246480; 542246489; 542246498-542246499; 542246539; 542252400-542252401; 542252459; 542252480; 542254420-542254421; 542254426-542254427; 542254455; 542255400; 542255402; 542255407; 542255437; 54225549; 542257450-542257454; 542257513; 542261404; 542261408-542261409; 542262370-542262372; 542262460-542262463; 542262611; 542264402; 542265405-542265406; 542265409; 542266450-542266453; 542266492; 542267415; 542267460-542267461; 542267463; 542268450-542268454; 542271492; 542272412-542272413; 542272499; 542273415; 542273419; 542274407-542274408; 542274490; 542281450-542281453; 542281614; 542283400; 542283403-542283404; 542284240; 542284460-542284463; 542284494; 542284678; 542285400; 542285403-542285404; 542286400; 542286406-542286407; 542291490; 542291492; 542291498; 542291500; 542292404; 542292415; 542292417-542292418; 542293384; 542293460-542293463; 542296404; 542297400; 542297415-542297416; 542302389; 542302450-542302452; 542302589; 542304200-542304201; 542304248; 542304279; 542304453; 542304459; 542304477; 542304516-542304518; 542304524; 542314430-542314432; 542314438; 542316409; 542316499; 542317482-542317483; 542317500; 542320258; 5423202641-5423202642; 542320270-542320274; 542320339; 542320359; 542320362; 542320368-542320369; 542320459; 542320528; 542320599; 542320619; 542322201; 542322453; 542322459; 542322477; 542322516-542322518; 542322524; 542323220; 542323311; 542323464; 542323469; 542323480; 542323489-542323490; 542323502; 542323508-542323509; 542324450-542324455; 542325450-542325452; 542326415-542326416; 542326428; 542331400; 542331405-542331406; 542333400; 542333430-542333431; 542334416-542334417; 542334480; 542336411-542336412; 542336490; 542337418-542337419; 542338416-542338417; 542342488-542342490; 542342500; 542343400; 542343415-542343416; 542344437; 542344448-542344449; 542344491-542344492; 542344494; 542345450-542345452; 542345570-542345571; 542346311-542346312; 542346351; 542346405; 542346450-542346453; 542346586; 542352492; 542352499-542352500; 542353400; 542354404-542354405; 542354419; 542355450-542355452; 542356400; 542356417-542356418; 542357400; 542358404; 542358414; 542358427; 542362460-542362463; 542362530; 542364290-542364291; 542364293; 542364460-542364463; 542364530; 542374150-542374153; 542374270-542374275; 542374279; 542374290-542374296; 542374299; 542374900-542374902; 542374908-542374909; 542392450-542392452; 542392485; 542392699; 542393400; 542394400-542394401; 542394447-542394448; 542395404; 542395447-542395448; 542396460-542396463; 542473490; 542473495; 542473530-542473531; 542474450-542474452; 542475429-542475430; 542475490; 542477460-542477463; 542477481; 542478490; 542478493-542478495; 542478497; 542478526; 542494261-542494262; 542494384; 542494460-542494463; 542604068-542604069; 542604247-542604249; 542604315; 542604460-542604464; 542604484; 542612115-542612119; 542612600-542612605; 542612626; 54261370-54261371; 542613720-542613724; 542613800-542613805; 54261400-54261401; 542614030; 542614048-542614049; 542614550-542614552; 542614556-542614559; 54261456-54261457; 542614800; 542614809; 542614830-542614839; 542614899; 542616024; 542616289; 5426223150-5426223154; 542622318-542622323; 542622460-542622462; 542622500; 542623261-542623262; 542623266-542623268; 542623450-542623455; 542624442-542624443; 54262447; 542624491; 542625440-542625443; 542625602; 542626406; 542626482-542626483; 542626490; 542627247-542627249; 542627315; 542627460-542627464; 542627484; 542634261-542634262; 542634266-542634268; 542634294-542634297; 542634450-542634455; 542644026; 542644029; 54264437-54264438; 542644790-542644797; 542644940; 542644944; 542645000-542645001; 542645003-542645006; 542646010; 542646404-542646405; 542647400; 542647417-542647418; 542648400; 542648405-542648406; 542651400; 542652247; 542652462; 542652470-542652473; 542652782-542652785; 542655403-542655404; 542655491; 542656400; 542656450-542656451; 542657260-542657261; 542657446; 542657460-542657463; 5426574995; 542657730-542657731; 542657736-542657737; 542658400; 542658403-542658404; 542664247; 542664462; 542664470-542664473; 542664782-542664786; 542664911-542664912; 542664918; 542804222; 542804460-542804461; 542804469; 542804500-542804502; 542804774-542804776; 542804945-542804946; 542804948-542804949; 542901460-542901463; 542901523; 542901578-542901579; 542902400-542902401; 542902408-542902409; 542903400; 542914608-542914609; 54291480; 542914878-542914879; 54291489; 542915000-542915004; 54291519; 542915202-542915203; 542915309; 542915510; 542915528-542915529; 542920387-542920388; 542920450-542920452; 542920454; 542920459; 542920599; 542921404; 542921436-542921437; 542922410; 542922436-542922437; 54292249; 542923455; 542923480-542923482; 542924400; 542924435-542924436; 5429254900-5429254901; 542926490; 542926499; 542926504-542926505; 542927400; 542927414-542927415; 542928400; 542928430-542928431; 542929400; 542931404; 542931422-542931423; 542932450-542932453; 542932490; 542933400; 542934404; 542934515-542934516; 542934539; 542935400; 542936400; 542940400; 542940440-542940441; 542941296; 542941470-542941476; 542942334-542942335; 5429423720-5429423726; 542942450-542942452; 542944372; 542944450-542944454; 542944837-542944839; 542945460-542945461; 542945572-542945573; 542945660; 542945666; 542946400; 542946420-542946421; 542946502-542946504; 542948400; 542948438-542948439; 542948445; 542952404; 542952414-542952415; 542953400; 542954470-542954473; 542954482; 542954634; 542954710; 542962400; 542962426-542962427; 542962466-542962467; 542962486; 542963400; 542963405-542963406; 542963418; 542964239; 542964460-542964462; 542964595-542964596; 542964733; 542965222; 542965460-542965461; 542965469; 542965500-542965502; 542965774-542965776; 542966238-542966239; 542966460-542966463; 542966689; 542966733; 542972400; 542972404; 542972409; 542972461-542972462; 54297450-54297451; 542974520-542974522; 542974886-542974889; 542975112-542975115; 542975119; 542975196-542975197; 542975219; 542982410-542982411; 542982490; 542983450-542983452; 542983630; 542983633-542983634; 542984296-542984297; 542984470-542984476; 542984817-542984819; 54299431; 54299439; 542994830; 542994839; 542995001-542995002; 542995139; 542995655-542995656; 54299566; 542995910-542995914; 542996138-542996139; 542996367; 542996535; 542996549; 542996752; 543329450-543329453; 543329458-543329459; 543364100-543364101; 543364261-543364262; 543364478; 543364494; 543364496-543364499; 543382450; 543382459; 543385450-543385452; 543385459; 543387482; 543387497; 543388450; 543388452; 543400450; 543400452; 543400457-543400459; 543401430; 543401438-543401439; 543401501; 543401505; 543402450-543402452; 543402459; 543404440; 543404449; 543405450; 543405452; 543406450; 543406452; 543407460-543407463; 543408450; 543408459; 543409450; 543409452; 54341222; 543412230-543412237; 543412360-543412366; 543412850-543412851; 54341401; 543414039-543414049; 543414069; 54341408; 543414670-543414679; 543414690; 543414695; 543414697-543414709; 54341475-54341476; 543417320; 543424014; 543424020-543424022; 543424024-543424029; 54342403; 54342464-54342465; 543424980; 543424987; 543424989; 543425744-543425748; 543425870; 543426337-543426338; 543426350-543426353; 543434020-543434023; 543434770-543434774; 54343481; 54343483; 543434844-543434849; 543435270-543435271; 543435490; 543435493-543435494; 543436450-543436451; 543436459; 543437450; 543437452; 543438450; 543438452; 543442460; 543442468-543442469; 543442655-543442656; 543444450-543444452; 543444459; 543445450; 543445452; 543446450-543446453; 543446458-543446459; 543446477; 543447450; 543447458; 543447578-543447579; 543454300-543454302; 54345435-54345436; 543454460-543454461; 543454987-543454989; 543455450-543455452; 543456451-543456452; 543456493; 543458452; 543458497; 543460450; 543460452; 543461478; 543461494; 543461496-543461499; 543462446-543462448; 543462483-543462484; 543462486; 543463452; 543463496; 543464450-543464451; 543464454; 543464456; 543464459; 543465460; 543465463; 543465468-543465469; 543466450-543466453; 543467490; 543467497; 543468430; 543468439; 543468601-543468602; 543469450; 543469452; 543471322; 543471475-543471479; 543471481; 543472450-543472454; 543472459; 543472497; 543476450-543476454; 543476457-543476459; 543482356-543482358; 5434823590; 543482447; 543482450; 543482458-543482459; 543482658; 543483450; 543483452; 543484229; 543484285; 543484400; 543484402-543484404; 543484459; 543484484; 543484492; 543484497; 543487455-543487456; 543487498; 543487500-543487502; 543488229; 543488400; 543488402-543488404; 543488459; 543488484; 543488492; 543488497; 543489443; 543489445; 543489491; 543489502-543489504; 543489508-543489509; 543491450-543491451; 543491459; 543492409; 543492460; 543492462-543492464; 543493450; 543493458; 543496450-543496452; 543496459; 543496463; 543497480; 543497482; 543498470; 543498473; 54351400-54351401; 543514050-543514058; 543514070-543514079; 543514360-543514369; 54351437-54351438; 543514390-543514393; 543514397-543514398; 543514440; 543514448-543514449; 543514907; 543516496-543516498; 543516556; 54351711-54351712; 543517240-543517245; 54351797-54351798; 543518353; 543521480; 543521483; 543521520; 543522450; 543522452; 543524495; 543524498; 543525450-543525452; 543525459; 543532460-543532463; 543533450; 543533452; 543534451-543534452; 543534484; 543534488-543534489; 54353456-54353457; 543534725-543534726; 543534800; 543534890-543534892; 54353558; 543535664-543535665; 543537451-543537452; 543537484; 543537488-543537489; 5435412632-5435412633; 543541326-543541327; 543541460; 543541462; 543541466-543541469; 543542462-543542463; 5435433300; 543543470; 543543472; 543543476; 543543478-543543479; 543543647; 543543688; 543544450; 543544458-543544459; 543544487; 543546470; 543546479; 543547409; 543547482; 543547485-543547487; 543547498-543547499; 543548440; 543548460-543548461; 543548469; 543549450-543549453; 543562450; 543562452; 543563490; 543563495; 543564309; 543564353-543564355; 543564442; 543564447-543564449; 543564477; 543564493; 543571450-543571454; 543571459; 543572450-543572454; 543572459; 543573452; 543573492; 543574450-543574452; 543575481-543575483; 543576400; 543576439; 543576460; 543576469; 543582460-543582463; 543583482-543583483; 543584100; 543584150-543584151; 543584453-543584454; 543584490; 543584495; 543584720-543584721; 543584727-543584728; 54358473-54358474; 543584889; 543584897-543584899; 543585050-543585051; 543585490; 543585497; 543624180-543624181; 543624190-543624193; 543624199; 543624454-543624455; 543624457; 543624477; 543624588-543624589; 543625315-543625317; 543644263-543644264; 543644280-543644283; 543644441-543644442; 543644447; 543644496; 543704470; 543704477-543704479; 543704495; 543704912-543704913; 543704920-543704923; 543704927; 543704929; 543704943; 543704945; 543711490; 543711493; 543715485; 543715495; 543716490; 543716498; 543717470; 543717477-543717479; 543717495; 543718490; 543718494-543718495; 543721481-543721482; 543722454-543722455; 543722457; 543722477; 543722588-543722589; 543725450-543725452; 543731490; 543731495; 543732441-543732442; 543732447; 543732496; 543734490; 543734496; 543734527-543734528; 543735450-543735451; 543735458; 543741409; 543741490; 543741496; 543743492; 543743494; 543751472-543751474; 543751497; 5437516501; 543751651-543751652; 543752472-543752473; 543752477-543752479; 543752598-543752599; 543754450; 543754452; 543755393; 543755450-543755451; 543755459; 543756450; 543756452; 543756478-543756479; 543757492; 543757494-543757495; 543757635-543757636; 543758450; 543758452; 543764472-543764473; 543764477-543764479; 543764598-543764599; 543764956-543764957; 543764959; 543765000-543765003; 543772495-543772497; 543773490; 543773496-543773497; 543774460-543774462; 543775490-543775492; 543777380; 543777386-543777387; 543777440-543777441; 543777447-543777449; 543781480; 543781485; 543782470; 543782472; 543783419; 543783480-543783481; 543783487-543783489; 543786450; 543786459; 543794185-543794187; 543794419; 543794480-543794481; 543794487-543794489; 543794988-543794989; 543795480-543795482; 543804483-543804487; 543804748; 543804846-543804847; 543804905-543804906; 543804969; 54381307; 543813161-543813166; 543813210-543813214; 543813244; 543814528; 54381470-54381471; 543814897-543814899; 543821407; 543821485; 543821494; 543822483-543822484; 543822486-543822487; 543822748; 543825481; 543825488-543825489; 543826470; 543826473; 543827450; 543827452; 543832462; 543832465; 543833460; 543833463; 543833468-543833469; 543833487; 543833754; 543834075-543834079; 543834096; 543834460; 543834463; 543834468-543834469; 543834487; 543834754; 543834843-543834845; 543834847-543834848; 543835440-543835443; 543835481; 543835489; 543837472; 543837474; 543837489; 543838490; 543838493; 543841497-543841498; 543843450; 543843452; 543844477; 543844484; 543844487; 543844516-543844519; 543845490; 543845493; 543846490; 543846495; 543854494-543854495; 543854498; 54385460-54385461; 543854900; 543854907; 543854948-543854949; 543854958-543854959; 543854969; 543855336-543855339; 543855490; 543855495; 543856495-543856496; 543857480; 543857484; 543858492-543858493; 543858498; 543861450; 543861458; 543862480; 543862488; 543863450; 543863458-543863459; 543865380-543865381; 543865450-543865451; 543865458-543865459; 543865754-543865755; 543867490; 543867495-543867496; 543868450; 543868458; 543869490; 543869498; 543873450-543873451; 543873459; 5438734906; 543873629; 54387460-54387461; 543874980; 543874987; 543874989; 543875459; 543875580-543875581; 543876075-543876078; 54387608; 543876477-543876478; 543876496-543876497; 543876585; 543877450; 543877458; 543877520-543877523; 543878440; 543878447-543878449; 543878606; 543878665-543878667; 54388401; 54388450; 543884890; 543884899; 543885337-543885339; 543885472; 543885476; 543885920-543885922; 543885958; 543886472-543886474; 543886694; 543887472-543887473; 543887485; 5438884771; 543888483; 543888486-543888487; 54388859; 543891490; 543891495; 543892490; 543892495; 543894490; 543894495; 549</t>
  </si>
  <si>
    <t>ARMENIA</t>
  </si>
  <si>
    <t>374</t>
  </si>
  <si>
    <t>ARMENIA-FIXED UCOM</t>
  </si>
  <si>
    <t>37411</t>
  </si>
  <si>
    <t>ARMENIA-FIXED VIVACELL</t>
  </si>
  <si>
    <t>3746076-3746081</t>
  </si>
  <si>
    <t>ARMENIA-MOBILE BEELINE</t>
  </si>
  <si>
    <t>37433; 37443; 37491; 37496-37497; 37499</t>
  </si>
  <si>
    <t>ARMENIA-MOBILE UCOM</t>
  </si>
  <si>
    <t>37441; 37444; 37455; 37495</t>
  </si>
  <si>
    <t>ARMENIA-MOBILE VIVACELL</t>
  </si>
  <si>
    <t>37477; 37488; 37493-37494; 37498</t>
  </si>
  <si>
    <t>ARMENIA-YEREVAN</t>
  </si>
  <si>
    <t>37410</t>
  </si>
  <si>
    <t>ARUBA</t>
  </si>
  <si>
    <t>297</t>
  </si>
  <si>
    <t>ARUBA-MOBILE DIGICEL</t>
  </si>
  <si>
    <t>297290; 29763-29764; 29773-29774</t>
  </si>
  <si>
    <t>ARUBA-MOBILE OTHERS</t>
  </si>
  <si>
    <t>29756; 29759; 29766; 29769; 29796; 29799</t>
  </si>
  <si>
    <t>ASCENSION ISLAND</t>
  </si>
  <si>
    <t>247</t>
  </si>
  <si>
    <t>ASCENSION ISLAND-SPECIAL SVCS</t>
  </si>
  <si>
    <t>2470-2473; 2475; 2477-2479</t>
  </si>
  <si>
    <t>AUSTRALIA</t>
  </si>
  <si>
    <t>61</t>
  </si>
  <si>
    <t>AUSTRALIA-MOBILE IOT OPTUS</t>
  </si>
  <si>
    <t>61910-61911</t>
  </si>
  <si>
    <t>AUSTRALIA-MOBILE IOT OTHERS</t>
  </si>
  <si>
    <t>619</t>
  </si>
  <si>
    <t>AUSTRALIA-MOBILE IOT TELSTRA</t>
  </si>
  <si>
    <t>61900; 61909</t>
  </si>
  <si>
    <t>AUSTRALIA-MOBILE OPTUS</t>
  </si>
  <si>
    <t>61401-61403; 61411-61413; 61421-61423; 61431-61432; 61434-61435; 614400; 6144010-6144014; 61466; 614680; 614683-614689; 61478; 614790-614791; 61481; 614820-614823; 614839; 614850-614856; 6148570-6148576; 614890-614892; 6148930-6148934; 614950-614953</t>
  </si>
  <si>
    <t>AUSTRALIA-MOBILE OTHERS</t>
  </si>
  <si>
    <t>614</t>
  </si>
  <si>
    <t>AUSTRALIA-MOBILE TELSTRA</t>
  </si>
  <si>
    <t>61400; 61407-61409; 61417-61419; 61427-61429; 61436-61439; 614444-614445; 61447-61448; 614545-614549; 61455-61465; 61467; 614725-614729; 61473-61477; 614801-614807; 614824-614833; 614836-614838; 61484; 61486-61487; 614880-614887; 614889; 61490; 614910-614914; 614916-614919; 61492-61494; 61497-61499</t>
  </si>
  <si>
    <t>AUSTRALIA-MOBILE VODAFONE</t>
  </si>
  <si>
    <t>61404-61406; 61410; 61414-61416; 614202-614209; 61424-61426; 61430; 61433; 614490-614492; 614495-614499; 61450-61451; 614520-614526</t>
  </si>
  <si>
    <t>AUSTRALIA-PRIORITY 1300</t>
  </si>
  <si>
    <t>6113</t>
  </si>
  <si>
    <t>AUSTRALIA-SATELLITE OPTUS</t>
  </si>
  <si>
    <t>611451-611453</t>
  </si>
  <si>
    <t>AUSTRALIA-SATELLITE TELSTRA</t>
  </si>
  <si>
    <t>611471</t>
  </si>
  <si>
    <t>AUSTRIA</t>
  </si>
  <si>
    <t>43</t>
  </si>
  <si>
    <t>AUSTRIA-MOBILE A1</t>
  </si>
  <si>
    <t>43664; 43680-43681; 43688; 4369981-4369982; 4369988-4369989</t>
  </si>
  <si>
    <t>AUSTRIA-MOBILE H3G</t>
  </si>
  <si>
    <t>43660; 4367833; 436784-436785; 4367890-4367891; 4368183; 43699</t>
  </si>
  <si>
    <t>AUSTRIA-MOBILE OTHERS</t>
  </si>
  <si>
    <t>43655; 43661; 43663; 43665; 43667; 436688; 43670; 43678; 43686; 4368860-4368861; 4368864; 4368877; 436889; 43689-43690; 43696</t>
  </si>
  <si>
    <t>AUSTRIA-MOBILE TMOBILE</t>
  </si>
  <si>
    <t>43650; 43676-43677</t>
  </si>
  <si>
    <t>AUSTRIA-SPECIAL SVCS</t>
  </si>
  <si>
    <t>43711; 43730; 43740; 43810; 43820-43821; 439</t>
  </si>
  <si>
    <t>AZERBAIJAN</t>
  </si>
  <si>
    <t>994</t>
  </si>
  <si>
    <t>AZERBAIJAN-MOBILE AZERCELL</t>
  </si>
  <si>
    <t>99410; 99450-99451; 99460</t>
  </si>
  <si>
    <t>AZERBAIJAN-MOBILE AZERFONE</t>
  </si>
  <si>
    <t>99470; 99477</t>
  </si>
  <si>
    <t>AZERBAIJAN-MOBILE BAKCELL</t>
  </si>
  <si>
    <t>99455; 99499</t>
  </si>
  <si>
    <t>AZERBAIJAN-MOBILE OTHERS</t>
  </si>
  <si>
    <t>99440; 99444</t>
  </si>
  <si>
    <t>BAHAMAS</t>
  </si>
  <si>
    <t>1242</t>
  </si>
  <si>
    <t>BAHAMAS-MOBILE ALIV</t>
  </si>
  <si>
    <t>1242738; 1242801-1242810; 1242812-1242819; 124282; 1242830-1242834; 1242899</t>
  </si>
  <si>
    <t>BAHAMAS-MOBILE BTC</t>
  </si>
  <si>
    <t>1242357; 1242359; 1242375-1242376; 1242395; 1242421-1242429; 1242431-1242439; 1242441-1242443; 1242445-1242449; 1242451-1242458; 1242462-1242468; 124247; 1242481; 1242524-1242525; 1242533; 1242535; 1242544; 1242551-1242554; 1242556-1242559; 1242565; 1242577; 1242636; 1242646; 1242703; 1242727; 1242800; 1242888</t>
  </si>
  <si>
    <t>BAHRAIN</t>
  </si>
  <si>
    <t>973</t>
  </si>
  <si>
    <t>BAHRAIN-BROADBAND</t>
  </si>
  <si>
    <t>9737111</t>
  </si>
  <si>
    <t>BAHRAIN-MOBILE BATELCO</t>
  </si>
  <si>
    <t>97331-97332; 97338-97339; 973667</t>
  </si>
  <si>
    <t>BAHRAIN-MOBILE MENA</t>
  </si>
  <si>
    <t>97377</t>
  </si>
  <si>
    <t>BAHRAIN-MOBILE OTHERS</t>
  </si>
  <si>
    <t>97336-97337; 973663; 973666; 973669</t>
  </si>
  <si>
    <t>BAHRAIN-MOBILE VIVA</t>
  </si>
  <si>
    <t>97333-97335; 9736300; 9736333; 9736361; 9736366</t>
  </si>
  <si>
    <t>BANGLADESH</t>
  </si>
  <si>
    <t>880</t>
  </si>
  <si>
    <t>BANGLADESH-DHAKA</t>
  </si>
  <si>
    <t>8802</t>
  </si>
  <si>
    <t>BANGLADESH-MOBILE AIRTEL</t>
  </si>
  <si>
    <t>88016</t>
  </si>
  <si>
    <t>BANGLADESH-MOBILE BANGLALINK</t>
  </si>
  <si>
    <t>88014; 88019</t>
  </si>
  <si>
    <t>BANGLADESH-MOBILE GRAMEENPHONE</t>
  </si>
  <si>
    <t>88013; 88017</t>
  </si>
  <si>
    <t>BANGLADESH-MOBILE OTHERS</t>
  </si>
  <si>
    <t>8801</t>
  </si>
  <si>
    <t>BANGLADESH-MOBILE ROBI</t>
  </si>
  <si>
    <t>88018</t>
  </si>
  <si>
    <t>BARBADOS</t>
  </si>
  <si>
    <t>1246</t>
  </si>
  <si>
    <t>BARBADOS-MOBILE CW</t>
  </si>
  <si>
    <t>124623-124624; 1246250-1246255; 124628; 1246352-1246366; 1246446-1246449; 124645; 124652</t>
  </si>
  <si>
    <t>BARBADOS-MOBILE DIGICEL</t>
  </si>
  <si>
    <t>1246256-1246259; 124626; 124653-124654; 124682-124685</t>
  </si>
  <si>
    <t>BARBADOS-MOBILE OTHERS</t>
  </si>
  <si>
    <t>1246695-1246697</t>
  </si>
  <si>
    <t>BELARUS</t>
  </si>
  <si>
    <t>375</t>
  </si>
  <si>
    <t>BELARUS-MOBILE MTS</t>
  </si>
  <si>
    <t>375292; 375295; 375297-375298; 37533</t>
  </si>
  <si>
    <t>BELARUS-MOBILE OTHERS</t>
  </si>
  <si>
    <t>37525; 37529</t>
  </si>
  <si>
    <t>BELARUS-MOBILE VELCOM</t>
  </si>
  <si>
    <t>375291; 375293; 375296; 375299; 37544</t>
  </si>
  <si>
    <t>BELARUS-OLO</t>
  </si>
  <si>
    <t>375860</t>
  </si>
  <si>
    <t>BELARUS-SPECIAL SVCS</t>
  </si>
  <si>
    <t>375602</t>
  </si>
  <si>
    <t>BELGIUM</t>
  </si>
  <si>
    <t>32</t>
  </si>
  <si>
    <t>BELGIUM-FIXED ORANGE</t>
  </si>
  <si>
    <t>321075-321076; 321080; 321156; 321189; 321195; 321235; 321275; 321280; 321345; 321375; 321380; 321435; 321476; 321480; 321574; 321580; 321585; 321666; 321674; 321695; 321925; 321975; 321980; 322271; 322324-322325; 322430-322432; 322434-322436; 322563; 322600; 322605-322614; 322690; 322764; 322800-322801; 323425; 323600; 323608-323614; 323800; 324242; 324274; 324276; 324284-324285; 324322-324323; 325074; 325080; 325085; 325135; 325166; 325175; 325275; 325280; 325285; 325353; 325355; 325361; 325454; 325461; 325465; 325555; 325565; 325575; 325659; 325674; 325695; 325757; 325761; 325775; 325785; 325858; 325875; 325885; 325959; 325961; 325985; 326060; 326075; 326085; 326162; 326175; 326355; 326363; 326375; 326464; 326474; 326485; 326526; 326553; 326555; 326574; 326768; 326774; 326868; 326875; 326885; 326965; 326969; 326975; 32711; 327189-327190; 3271940-3271941; 3271943-3271945; 328035; 328075; 328080; 328154; 328166; 328182; 328275; 328282; 328285; 328375; 328383; 328385; 328465; 328475; 328484; 328535; 328575; 328585; 328635; 328675; 328686; 328725; 328775; 328787; 328955; 328974; 328989; 329261-329262; 329276; 329285; 329292; 329351; 329393</t>
  </si>
  <si>
    <t>BELGIUM-FIXED TELENET</t>
  </si>
  <si>
    <t>321020; 321044; 321089; 3211170-3211172; 3211180-3211199; 321141; 321171-321172; 321174-321176; 321191; 3211961-3211969; 321220-321222; 321287-321289; 321325-321330; 321388-321389; 321466; 321470-321475; 321489; 3214947-3214959; 321533-321537; 321563-321568; 321588-321589; 3215910-3215914; 3216190-3216199; 321632-321634; 321637; 321641; 321643; 321671; 321684-321686; 321688-321690; 321920; 321988-321989; 32230; 322310-322311; 322330; 322350; 322408; 322418; 322429; 322444-322445; 322447-322449; 322455; 322457; 322473; 32261; 322831-322834; 322889; 323283-323284; 323288-323289; 32329; 323333-323339; 323344-323345; 323347-323349; 323430-323435; 323501-323502; 32361; 323689; 324244; 324288; 324389; 3250113-3250119; 325064-325070; 325073; 325088; 325090; 325143-325145; 325152-325153; 325160; 325162; 325169; 325180-325182; 325188-325189; 325250-325257; 325279; 325288; 325338-325344; 325369; 325388; 325423-325426; 325480-325482; 325488; 325559-325563; 325580; 325588; 3256180-3256199; 325628-325629; 325632; 325644; 325647; 325649; 325688; 325690; 325735-325737; 325788-325789; 325859-325863; 325888-325889; 325940-325945; 325988-325989; 326024; 326061; 326088-326089; 326160; 326188-326189; 326364; 326388-326389; 326424; 326450; 326463; 326489; 326550; 326585; 326589; 326750; 326766; 326780; 326869; 326888-326889; 326950; 326970; 326980; 3271131-3271135; 3271141-3271142; 327167; 327169; 3271948-3271949; 327810; 3278353; 327836; 327878; 328050; 328069; 328081; 328150; 328169; 328180; 328283; 328288-328289; 328384; 328388-328389; 328485; 328488-328489; 328586; 328588-328589; 328687-328689; 328750; 328757; 328780; 328920-328925; 328980; 328988; 329273; 329278-329279; 329310-329311; 329324; 329328-329331; 329334-329336; 329350; 329391; 329430-329431</t>
  </si>
  <si>
    <t>BELGIUM-MOBILE BASE</t>
  </si>
  <si>
    <t>324650; 324670; 324680-324685; 32469; 324806; 32483-32489; 327700020</t>
  </si>
  <si>
    <t>BELGIUM-MOBILE MOBISTAR</t>
  </si>
  <si>
    <t>324672-324673; 324675; 3249; 32770005</t>
  </si>
  <si>
    <t>BELGIUM-MOBILE OTHERS</t>
  </si>
  <si>
    <t>324510; 32455-32456; 32458; 3246; 324800; 324802; 3277</t>
  </si>
  <si>
    <t>BELGIUM-MOBILE PROXIMUS</t>
  </si>
  <si>
    <t>32460; 3247; 32770001</t>
  </si>
  <si>
    <t>BELGIUM-PERSONAL NR</t>
  </si>
  <si>
    <t>3270</t>
  </si>
  <si>
    <t>BELGIUM-PRS PAGING</t>
  </si>
  <si>
    <t>3245; 324630-324631; 324640; 324674; 324687-324689; 324803; 324807; 327700080; 327700090; 327700095; 3290</t>
  </si>
  <si>
    <t>BELGIUM-SVC NR</t>
  </si>
  <si>
    <t>3278</t>
  </si>
  <si>
    <t>BELIZE</t>
  </si>
  <si>
    <t>501</t>
  </si>
  <si>
    <t>BELIZE-MOBILE</t>
  </si>
  <si>
    <t>5016</t>
  </si>
  <si>
    <t>BENIN</t>
  </si>
  <si>
    <t>229</t>
  </si>
  <si>
    <t>BENIN-MOBILE CELTIIS</t>
  </si>
  <si>
    <t>2290124; 2290140-2290141; 2290143-2290144; 2290147-2290149; 22924; 22940-22941; 22943-22944; 22947-22949</t>
  </si>
  <si>
    <t>BENIN-MOBILE MOOV</t>
  </si>
  <si>
    <t>2290145; 2290155; 2290158; 2290160; 2290163-2290165; 2290168; 2290194-2290195; 2290198-2290199; 22945; 22955; 22958; 22960; 22963-22965; 22968; 22994-22995; 22998-22999</t>
  </si>
  <si>
    <t>BENIN-MOBILE MTN</t>
  </si>
  <si>
    <t>2290142; 2290146; 2290150-2290154; 2290156-2290157; 2290159; 2290161-2290162; 2290166-2290167; 2290169; 2290190-2290191; 2290196-2290197; 22942; 22946; 22950-22954; 22956-22957; 22959; 22961-22962; 22966-22967; 22969; 22990-22991; 22996-22997</t>
  </si>
  <si>
    <t>BERMUDA</t>
  </si>
  <si>
    <t>1441</t>
  </si>
  <si>
    <t>BERMUDA-MOBILE DIGICEL</t>
  </si>
  <si>
    <t>144150-144153; 144159</t>
  </si>
  <si>
    <t>BERMUDA-MOBILE OTHERS</t>
  </si>
  <si>
    <t>14413; 14417</t>
  </si>
  <si>
    <t>BERMUDA-MOBILE PARADISE</t>
  </si>
  <si>
    <t>1441900-1441909</t>
  </si>
  <si>
    <t>BHUTAN</t>
  </si>
  <si>
    <t>975</t>
  </si>
  <si>
    <t>BOLIVIA</t>
  </si>
  <si>
    <t>591</t>
  </si>
  <si>
    <t>BOLIVIA-FIXED COCHABAMBA</t>
  </si>
  <si>
    <t>591440; 591442-591447</t>
  </si>
  <si>
    <t>BOLIVIA-MOBILE ENTEL</t>
  </si>
  <si>
    <t>59163-59164; 59167-59168; 59171-59174</t>
  </si>
  <si>
    <t>BOLIVIA-MOBILE NUEVATEL</t>
  </si>
  <si>
    <t>59160-59161; 59165; 59170; 59179</t>
  </si>
  <si>
    <t>BOLIVIA-MOBILE OTHERS</t>
  </si>
  <si>
    <t>5917; 5917419; 5917429; 5917438-5917439; 5917449; 5917459; 5917474; 5917479; 5917487-5917489; 5917497-5917499</t>
  </si>
  <si>
    <t>BOLIVIA-MOBILE TIGO</t>
  </si>
  <si>
    <t>59162; 59169; 5917416-5917418; 5917426-5917428; 5917446-5917448; 5917456-5917458; 5917473; 5917478; 59175-59178</t>
  </si>
  <si>
    <t>BOLIVIA-RURAL</t>
  </si>
  <si>
    <t>5912213; 59122566-59122570; 59122598-59122599; 59122755-59122759; 59122875-59122879; 59122895-59122899; 59122971; 5912513; 591251995-591251999; 59125290; 591253-591255; 5912582; 5912584-5912597; 59126132-59126139; 59126192; 59126198-59126199; 59126214-59126219; 59126302; 59126315-59126319; 5912632-5912639; 591264-591268; 5912690-5912694; 5912696-5912697; 59128; 59132; 5913313; 5913323; 59133736-59133739; 59133760-59133762; 591338228-591338229; 59133823; 591338408-591338409; 591338418-591338419; 591338528-591338529; 591338538-591338539; 591338838-591338839; 59133884; 591341; 59134225-59134229; 5913465; 59134702-59134709; 5913471-5913485; 591364; 59137; 5913825-5913826; 5913830-5913839; 591384290; 591384293-591384295; 591384299; 59138430-59138431; 591384605-591384608; 5913851-5913859; 591386-591388; 5913890-5913896; 59139234-59139239; 59139243; 59139248-59139249; 5913925; 59139266-59139269; 5913927; 59139280-59139285; 5913929; 59139306-59139309; 5913931-5913937; 5913940; 5913942; 5913944; 5913946-5913948; 591395; 5913961; 59139624-59139629; 5913963-5913968; 591397-591398; 59142; 59144; 5914434; 5914438; 5914457; 59144627-59144629; 59144645-59144646; 5914477-5914478; 59145; 59146132-59146139; 59146193-59146195; 5914628-5914630; 59146315-59146319; 5914632-5914639; 5914647; 5914649; 59146502; 59146515-59146519; 5914652-5914659; 5914672; 5914677-5914687; 59146932-59146939; 59146961-59146969; 5914697-5914699; 59147; 5919</t>
  </si>
  <si>
    <t>BOSNIA HERZEGOVINA</t>
  </si>
  <si>
    <t>387</t>
  </si>
  <si>
    <t>BOSNIA HERZEGOVINA-BHT</t>
  </si>
  <si>
    <t>3873020; 3873024-3873029; 3873033; 3873050-3873054; 3873056; 3873059; 3873061; 3873083; 38730961; 38730971; 38731511; 3873220; 3873222; 3873224; 3873240-3873246; 3873255; 3873259-3873261; 3873265-3873269; 3873272-3873274; 3873277-3873278; 3873282; 3873284-3873287; 38732951; 3873297; 38732981; 387332; 387334-387336; 3873370-3873373; 3873375-3873378; 3873380-3873381; 3873389; 38733941-38733944; 38733947-38733948; 38734611; 387352; 3873530-3873534; 3873536; 3873538-3873539; 3873554-3873557; 3873559; 3873561-3873566; 3873569-3873572; 3873574-3873582; 3873585-3873589; 3873628-3873629; 3873650-3873651; 3873655-3873659; 3873671-3873675; 38736941; 3873722; 3873729-3873733; 3873735-3873739; 3873741-3873742; 3873747-3873749; 3873751-3873755; 3873766-3873769; 3873771-3873772; 3873777; 3873788; 38737941; 3873822-3873824; 3873829; 3873851; 3873879; 3873882; 38739511; 38739941; 3874950-3874952; 3874958-3874959; 38749951-38749952; 38750951; 38750991; 38751951-38751952; 38751991; 38752941; 38752991; 38753941; 38753981; 38753991-38753992; 38754911; 38755941; 38755991-38755992; 38756941; 38756991; 38757941; 38757951; 38757991; 38758991; 38759941; 38759991; 3877020-3877026; 38770342-38770343</t>
  </si>
  <si>
    <t>BOSNIA HERZEGOVINA-HT MOSTAR</t>
  </si>
  <si>
    <t>3873049; 3873063-3873065; 3873070-3873071; 3873073; 3873079-3873080; 3873087; 3873171-3873177; 3873179; 3873280; 3873288-3873289; 38733901-38733902; 3873420-3873422; 3873424; 3873426-3873427; 3873431; 3873435-3873436; 3873450; 3873481-3873482; 3873485; 38735901-38735902; 3873631-3873639; 3873644; 3873648; 3873664-3873665; 3873677-3873678; 3873680-3873682; 3873685-3873689; 38737901-38737902; 3873920; 3873938; 3873966-3873971; 3873983-3873985; 3874974-3874976; 38751901-38751902</t>
  </si>
  <si>
    <t>BOSNIA HERZEGOVINA-MOB BHT</t>
  </si>
  <si>
    <t>387603; 38760400-38760404; 38761-38762</t>
  </si>
  <si>
    <t>BOSNIA HERZEGOVINA-MOB ERONET</t>
  </si>
  <si>
    <t>38763; 387644</t>
  </si>
  <si>
    <t>BOSNIA HERZEGOVINA-MOB TS</t>
  </si>
  <si>
    <t>38765-38767</t>
  </si>
  <si>
    <t>BOSNIA HERZEGOVINA-SOFTNET</t>
  </si>
  <si>
    <t>38731941; 38732941-38732943; 38735951; 38750941; 38751971</t>
  </si>
  <si>
    <t>BOSNIA HERZEGOVINA-SRPSKE</t>
  </si>
  <si>
    <t>38730481-38730482; 38730488; 38731481; 38731488; 38732481-38732482; 38732488; 38733981-38733983; 38733988; 38734481; 38734483; 38734488; 38735481-38735484; 38735486; 38735488; 38736981-38736982; 38736988; 38737981-38737982; 38737988; 38738481; 38738488; 3873948; 387492-387494; 3875</t>
  </si>
  <si>
    <t>BOSNIA HERZEGOVINA-TELEDIGITAL</t>
  </si>
  <si>
    <t>38730941; 38735911; 38736911; 38751911</t>
  </si>
  <si>
    <t>BOTSWANA</t>
  </si>
  <si>
    <t>267</t>
  </si>
  <si>
    <t>BOTSWANA-MOBILE BTC</t>
  </si>
  <si>
    <t>26773; 267749; 267758; 267768; 26777200</t>
  </si>
  <si>
    <t>BOTSWANA-MOBILE MASCOM</t>
  </si>
  <si>
    <t>267321; 26771; 267740-267742; 267745-267747; 267754-267756; 267759-267762; 267766-267767; 267770-267771; 267776-267778; 267789; 2677925-2677927; 267890010-267890014; 2678900150-2678900151; 2678900160-2678900161; 2678900170-2678900171</t>
  </si>
  <si>
    <t>BOTSWANA-MOBILE ORANGE</t>
  </si>
  <si>
    <t>26772; 267743-267744; 267748; 267750-267753; 267757; 267763-267765; 267769; 267773-267775; 267779-267787; 2677920; 2677922; 267890000-267890004; 267890018-267890028</t>
  </si>
  <si>
    <t>BOTSWANA-MOBILE OTHERS</t>
  </si>
  <si>
    <t>2677</t>
  </si>
  <si>
    <t>BRAZIL</t>
  </si>
  <si>
    <t>55</t>
  </si>
  <si>
    <t>30/6</t>
  </si>
  <si>
    <t>BRAZIL-MOBILE CLARO</t>
  </si>
  <si>
    <t>551192016; 55119404-55119406; 5511945; 551196169; 55119617; 551196180-551196181; 55119630-55119633; 55119657-55119664; 551196650; 551196914-551196919; 55119692; 551196931; 551197052-551197059; 55119706-55119707; 551197080-551197086; 5511976; 551197968-551197970; 5511988-5511989; 55119900-55119901; 551199020-551199027; 5511991-5511994; 5512991; 55129920-55129925; 551299260-551299261; 5513991; 55139920; 551399210-551399212; 5514910; 551499101-551499109; 55149911-55149919; 5515991; 551599201; 5516991-5516993; 55169940-55169945; 551699460-551699466; 5517991; 55179920-55179928; 5518991; 551899200; 5519989945-5519989949; 551998995-551998999; 5519990-5519995; 552192016; 552192021; 552192118; 5521966; 5521968; 5521970; 5521973-5521978; 5521990-5521994; 5522991-5522992; 5524992-5524993; 55249940-55249942; 552499430-552499436; 552799201-552799205; 552799222-552799229; 55279923-55279930; 552799310-552799312; 552799316; 552899210; 552899222; 552899251-552899258; 55289927; 552899291; 552899298; 553192016; 553198106-553198109; 55319811; 553198120-553198121; 5531982-5531984; 55339840-55339845; 553398460-553398461; 553398466-553398468; 55349840-55349843; 553498440-553498444; 55359840-55359847; 5537984013-5537984014; 553798421; 55389840-55389843; 5541987; 554198801-554198804; 5542988; 55439880-55439886; 55459880-55459883; 554598840-554598844; 55469880-55469882; 554698830-554698832; 554698837-554698838; 5547988; 55479890-55479891; 55489880-55489886; 554898870-554898871; 5549988; 55499890-55499892; 55519890-55519891; 555198920-555198921; 555198943-555198949; 55519895; 555198960-555198961; 5551991-5551994; 55539910; 555399110-555399111; 5554991113-5554991119; 555499112-555499119; 55549912-55549926; 555499270-555499272; 5555991; 55559920; 555599214-555599219; 55559922-55559923; 5561991-5561995; 5562991-5562995; 556399103-556399109; 55639911-55639914; 5563992; 55639930-55639934; 55649914; 556499150-556499152; 556499156-556499166; 556499170-556499172; 55649918; 556499190-556499191; 5564992; 55649930; 556499310-556499316; 556499322-556499329; 55649933-55649939; 55649945; 5565991-5565993; 55659941; 556599442; 556599470; 556699110-556699112; 556699115-556699116; 55669912; 55669914-55669919; 5566992; 55669933; 556699340-556699344; 55669935; 556699395; 556699399; 556699410-556699413; 5567991-5567993; 55689920-55689924; 556899250; 556899264; 556899281-556899283; 556899292; 556899295; 55689938; 55699914300; 5569992-5569993; 55699940-55699947; 556999480-556999484; 557192016; 5571981-5571984; 5573981; 55739820-55739825; 557498101-557498104; 557498106-557498109; 55749811-55749814; 5575981-5575982; 55759830-55759831; 557598320-557598324; 557598336-557598339; 55759834-55759836; 557598370-557598374; 55779810-55779816; 5579981013-5579981019; 557998102-557998109; 55799811-55799817; 557998180; 558197319; 55819732-55819733; 558197340-558197347; 55819890-55819896; 558198970-558198978; 5581991-5581994; 5582991-5582993; 558299407-558299409; 55829941-55829942; 558299430-558299436; 558299444; 5583991; 55839930-55839938; 558399421; 558399444; 5584991; 55849920; 558499210-558499216; 558499227-558499229; 55849923-55849929; 5584993-5584994; 5585991-5585992; 55859940-55859942; 558599430-558599433; 558599438-558599440; 558599444; 5586994; 55869950-55869955; 558699560-558699563; 558699575-558699579; 55869958-55869959; 5587991; 55879920-55879924; 558799250-558799253; 55879944490; 5588992; 55889930-55889931; 558899320-558899321; 558899335-558899339; 55889934-55889939; 5588994; 558999101; 55899940-55899946; 558999470-558999473; 5591984; 55919850-55919853; 559198540; 559198547-559198549; 55919855-55919857; 559198580; 559292016; 559298400-559298401; 55939840-55939841; 559398420-559398425; 55959840; 559598410-559598413; 55969840-55969841; 559798400-559798401; 559798427-559798430; 5598984; 559898509; 55989851-55989852; 559898530-559898533; 559898553-559898566; 55999840-55999845; 559998460-559998462; 559998475-559998483</t>
  </si>
  <si>
    <t>BRAZIL-MOBILE OI</t>
  </si>
  <si>
    <t>55119310-55119314; 551193150-551193152; 55119440-55119443; 5511946; 551195252-551195267; 55119540-55119541; 55119570-55119575; 551195760-551195768; 551196011-551196019; 55119602-55119604; 551196050-551196056; 551196086-551196089; 55119609-55119615; 551196160-551196167; 5511962; 55119650-55119656; 551196651-551196659; 55119666-55119669; 5511967; 55119680-55119681; 551196820-551196826; 551196867-551196869; 55119687-55119689; 551196932-551196939; 55119694-55119699; 551197971-551197979; 55119798-55119799; 55119801-55119809; 55129870; 551298710-551298712; 5512988; 551398801-551398809; 55139881-55139887; 551398880-551398884; 55149880-55149882; 551498830-551498835; 55159880-55159883; 551598840-551598843; 55169880-55169886; 551698870-551698877; 55179880-55179882; 551798830-551798835; 55189880-55189881; 551898820-551898828; 55199870-55199876; 551998770-551998777; 551998779-551998783; 5519988; 5521959; 5521984-5521988; 55219890-55219898; 552198990-552198994; 55229880; 552298811-552298819; 552298821-552298829; 552298831-552298839; 552298841-552298849; 552298851-552298854; 552298857-552298859; 552298861; 55249880-55249881; 552498821-552498829; 552498831-552498839; 552498841-552498849; 552498851-552498859; 552498861-552498869; 552498871-552498886; 55279880-55279888; 552798891-552798899; 552898801-552898809; 552898811; 552898814-552898817; 55319800-55319803; 553198040-553198048; 5531985-5531989; 55329870-55329871; 553298720-553298721; 55329880-55329887; 553298881-553298889; 55329889; 55339870-55339873; 553398740-553398744; 553398749; 55339875; 553398760-553398765; 5533988; 553498700-553498701; 553498719; 553498721; 55349880-55349886; 553498871-553498879; 553498881-553498889; 553498891-553498899; 55359870-55359871; 553598720-553598724; 55359880-55359882; 553598831-553598839; 553598841-553598849; 553598851-553598859; 553598861-553598869; 553598871-553598887; 553598889; 553598891-553598899; 55379880-55379884; 553798851-553798858; 553898801-553898809; 553898811-553898819; 553898821-553898829; 553898831-553898839; 553898841-553898849; 553898851-553898856; 553898858; 5541984; 55419850-55419851; 554198521-554198527; 554198529-554198538; 554198540; 554298401-554298409; 554298411-554298419; 554298421-554298429; 554298431-554298435; 554298439; 554398401-554398409; 554398411-554398419; 554398421-554398429; 554398431-554398439; 554398441-554398449; 554398451-554398459; 554398461-554398463; 554398473-554398479; 554398481-554398489; 554398491-554398494; 554398498-554398499; 554498401-554498409; 554498411-554498419; 554498421-554498429; 554498431-554498439; 554498441-554498449; 554498451-554498459; 554498461-554498462; 554498464; 554598401-554598409; 554598411-554598419; 554598421-554598429; 554598431-554598436; 55469840; 554698411-554698415; 554698419; 554698421-554698422; 55479840-55479845; 554798461-554798469; 554798471-554798479; 55479848; 554798491-554798499; 55489840-55489848; 554898490; 554898492-554898506; 55499840-55499842; 554998431-554998438; 554998501-554998505; 5551984-5551985; 55519860-55519867; 555198680-555198687; 55539840-55539841; 555398421-555398429; 555398431-555398439; 555398441-555398449; 555398451-555398459; 555398461-555398469; 555398473-555398479; 555398481-555398491; 55549840-55549842; 555498431-555498439; 555498441-555498449; 555598401-555598409; 55559841; 555598421-555598429; 555598431-555598439; 555598441-555598449; 555598451-555598459; 555598461-555598469; 555598471-555598478; 5561984-5561985; 55619860; 556198611-556198619; 556198621-556198629; 556198631-556198639; 556198641-556198649; 556198651-556198659; 556198661-556198669; 556198671-556198679; 556198681-556198683; 5562984-5562985; 55629860-55629865; 556298660-556298667; 5563984; 55639850; 556398510-556398513; 556398515-556398523; 55649840-55649847; 556498480-556498483; 55659840; 556598411-556598419; 556598421-556598429; 556598431-556598439; 556598441-556598449; 556598451-556598459; 556598461-556598469; 556598471-556598479; 55669840-55669844; 556698451-556698453; 556698457-556698459; 55669846; 556698470-556698472; 55679840; 556798411-556798419; 556798421-556798429; 556798431-556798439; 556798441-556798449; 556798451-556798459; 556798461-556798469; 556798471-556798479; 556798481-556798484; 556798488; 55689840; 556898411-556898419; 556898421-556898428; 55699840-55699842; 556998431-556998439; 556998441-556998449; 556998451-556998459; 556998461-556998469; 556998471-556998479; 556998481-556998489; 556998491-556998501; 55719850-55719855; 557198560-557198561; 5571986-5571988; 55739880-55739883; 557398841-557398849; 557398851-557398859; 557398861-557398869; 55739887-55739889; 557498801-557498809; 557498811-557498819; 557498821-557498829; 557498831-557498839; 557498841-557498849; 557498851-557498859; 557498861-557498864; 557598700-557598704; 5575988; 557798801-557798809; 557798811-557798819; 557798821-557798829; 557798831-557798839; 557798841-557798849; 557798851-557798859; 557798861-557798869; 557798871-557798879; 557798881-557798888; 55799880-55799883; 557998841-557998849; 557998851-557998859; 557998861-557998869; 557998871-557998879; 55799888; 557998890-557998893; 55819830-55819838; 5581984-5581988; 558298701-558298709; 558298711-558298719; 558298721-558298729; 558298731-558298739; 558298741-558298746; 558298748-558298749; 558298751-558298759; 558298761-558298774; 5582988; 55839860-55839863; 558398640-558398647; 558398649; 55839865-55839867; 558398680-558398681; 558398687-558398689; 55839869; 5583987-5583988; 558398900-558398906; 55849860-55849861; 558498620-558498626; 55849864; 558498650-558498655; 5584987-5584988; 55859840-55859843; 558598440-558598444; 5585985-5585989; 55869880-55869886; 558698871-558698879; 558698881-558698889; 558698891-558698897; 558798801-558798809; 558798811-558798819; 558798821-558798829; 558798831-558798839; 558798841-558798849; 558798851-558798859; 558798861-558798869; 558798871-558798879; 558898806; 558898841-558898849; 558898851-558898859; 558898861-558898869; 558898871-558898879; 558898881-558898889; 558898891-558898892; 558998801-558998809; 558998811-558998819; 558998821-558998822; 55919870; 559198711-559198719; 559198721-559198729; 559198731-559198739; 559198741-559198749; 559198751-559198754; 559198756-559198759; 559198761-559198769; 559198771; 5591988; 559199601-559199609; 559199611-559199619; 559199621-559199629; 559199631-559199639; 559199641-559199642; 559199901-559199908; 559199912-559199919; 559199921-559199926; 5591999333; 5591999339; 559199940-559199944; 559199949; 5591999600; 559199961-559199969; 559199971; 55919997500-55919997504; 5591999770-5591999776; 55919997770-55919997774; 5591999779; 5591999781-5591999782; 55919997830-55919997834; 5591999784-5591999786; 55919997870-55919997877; 5591999788-5591999791; 5591999797-5591999799; 559298801-559298809; 559298811-559298819; 559298821-559298829; 559298831-559298839; 559298841-559298849; 559298851-559298859; 559298861-559298869; 559298871-559298872; 559299601-559299609; 559299612-559299619; 559299621-559299627; 559299631; 559299901-559299909; 559299911-559299913; 5592999333; 5592999339; 559299944; 559299951; 559299961-559299969; 559299971-559299978; 5592999800; 55929998010-55929998014; 559299981-559299989; 559299991; 559299994-559299999; 559398801-559398809; 559398811-559398817; 559399651-559399658; 5593996590; 559399901-559399904; 559399908; 5593999333; 5593999339; 559399951-559399952; 559399954; 5593999702-5593999703; 559399973-559399976; 55939997780-55939997784; 559399978; 5593999793; 559498801-559498809; 559498811-559498817; 559499661-559499668; 559499901; 559499903-559499904; 559499908-559499909; 5594999333; 5594999339; 559499934; 559499944; 559499953; 559499955; 559499969; 5594999700-5594999701; 559499972-559499974; 5594999750; 5594999770-5594999771; 5594999792; 5594999794-5594999796; 559598801-559598805; 559599901-559599905; 5595999333; 5595999339; 559599959; 559599961-559599965; 559599967; 559599970-559599972; 559599974; 559599976-559599977; 559599981; 559698801-559698809; 559698811-559698814; 559699901-559699909; 559699911-559699918; 5596999333; 5596999339; 559699961-559699968; 559699970-559699976; 559699981; 559798801-559798808; 559799611-559799613; 5597999010; 559799902-559799903; 5597999333; 5597999339; 5597999530; 5597999570-5597999573; 5597999580; 5597999590; 5597999787-5597999788; 5597999793; 55989860; 559898610; 559898612; 55989870-55989874; 559898750-559898758; 559898766-559898769; 55989877-55989878; 559898791; 5598988; 55989890-55989892; 559898930-559898934; 559899601-559899609; 559899611-559899619; 559899621; 559899901-559899909; 559899911-559899913; 559899933-559899934; 559899944; 559899961-559899976; 559899981-559899985; 559899988; 559899991-559899995; 55999880-55999883; 559998841-559998849; 559998851-559998861; 559999631; 559999641-559999647; 559999649; 559999651; 559999901-559999905; 559999933-559999935; 559999951-559999955; 559999970; 559999977; 5599999780-5599999785; 55999997860-55999997864; 5599999787-5599999794; 55999997950-55999997954; 55999997960-55999997961; 5599999797-5599999798; 55999997990-55999997994; 559999984; 5599999850-5599999853; 55999998540-55999998544; 5599999855-5599999857; 55999998580-55999998583; 55999998590-55999998596; 559999986-559999987; 5599999890-5599999894; 55999998950-55999998954</t>
  </si>
  <si>
    <t>BRAZIL-MOBILE OTHERS</t>
  </si>
  <si>
    <t>55117; 55119; 55127; 55129; 55137; 55139; 55147; 55149; 55157; 55159; 55167; 55169; 55177; 55179; 55187; 55189; 55197; 55199; 55217; 55219; 55227; 55229; 55247; 55249; 55277; 55279; 55287; 55289; 55317; 55319; 55327; 55329; 55337; 55339; 55347; 55349; 55357; 55359; 55377; 55379; 55387; 55389; 55417; 55419; 55427; 55429; 55437; 55439; 55447; 55449; 55457; 55459; 55467; 55469; 55477; 55479; 55487; 55489; 55497; 55499; 55517; 55519; 55537; 55539; 55547; 55549; 55557; 55559; 55617; 55619; 55627-55629; 55637; 55639; 55647; 55649; 55657; 55659; 55667; 55669; 55677; 55679; 55687; 55689; 55697; 55699; 55717; 55719; 55737; 55739; 55747; 55749; 55757; 55759; 55777; 55779; 55797; 55799; 55817; 55819; 55827; 55829; 55837; 55839; 55847; 55849; 55857; 55859; 55867; 55869; 55877; 55879; 55887; 55889; 55897; 55899; 55917; 55919; 55927; 55929; 55937; 55939; 55947; 55949; 55957; 55959; 55967; 55969; 55977; 55979; 55987; 55989; 55997; 55999</t>
  </si>
  <si>
    <t>BRAZIL-MOBILE TIM</t>
  </si>
  <si>
    <t>55119300-55119301; 55119380; 551193810; 5511948-5511949; 55119500; 551195015-551195019; 551195100-551195101; 551195104; 551195106-551195109; 551195113-551195114; 551195116-551195119; 55119512-55119516; 551195170; 551195172-551195179; 551195190; 551195192-551195199; 55119520; 551195210-551195211; 551195214-551195219; 55119522-55119524; 551195250-551195251; 551195268-551195269; 55119527-55119529; 551195327-551195329; 55119533-55119538; 551195390-551195398; 55119542-55119546; 551195470-551195471; 551195475-551195479; 55119548-55119549; 551195787-551195789; 55119579; 5511958-5511959; 551196061-551196069; 55119607; 551196080-551196085; 55119634-55119636; 55119642-55119646; 551196827-551196829; 55119683; 551197011-551197019; 55119702-55119704; 551197050-551197051; 5511977; 551197800-551197806; 55119795; 551197960-551197967; 5511981-5511987; 551296666; 551297600; 551297602-551297606; 5512981-5512982; 55129830-55129831; 551298320-551298321; 551395538-551395539; 55139554; 551395550-551395551; 551397600; 551397603-551397605; 5513981; 55139820-55139822; 551398230-551398231; 551398233; 551497600; 551497602-551497604; 5514981; 55149820-55149822; 551498230-551498233; 551597600; 551597602-551597604; 55159810-55159818; 551598190-551598191; 551697600; 551697602-551697604; 5516981; 55169820-55169826; 551698270-551698271; 551797600; 551797602-551797604; 5517981; 55179820-55179822; 551798230-551798231; 551897600; 551897602-551897604; 5518981; 551898200-551898207; 551995321-551995334; 551996011; 551997600; 5519981-5519983; 55199840-55199845; 551998460; 552196011; 552196014-552196021; 5521965; 5521969; 5521979-5521983; 55229810-55229817; 552298180-552298187; 55249810-55249817; 552498180-552498183; 552498186-552498189; 55279810; 552798111-552798119; 55279812; 552798131-552798139; 552798141-552798149; 55279815; 552798161-552798169; 55279817-55279818; 552798190-552798194; 552898100-552898103; 552898111-552898122; 55319730-55319733; 553197340-553197345; 553197348-553197350; 553197352-553197366; 55319750-55319753; 553197540-553197547; 553197553-553197559; 55319756-55319759; 5531991-5531994; 55329910-55329914; 553299150-553299151; 553299153-553299156; 553299158-553299168; 553299172-553299186; 553299193-553299199; 55339910-55339915; 553399161; 553399163-553399169; 55339917; 553399180; 55339919; 5534991-5534992; 55349930-55349933; 553499340-553499342; 5535991; 55359920-55359926; 553599270-553599277; 5537991; 5538991; 55389920-55389926; 553899270-553899272; 5541995-5541999; 55429980-55429986; 554299870-554299875; 5542999; 554398111; 5543996; 55439980-55439986; 554399870-554399875; 55439990-55439993; 55439995-55439998; 554399990; 554499600-554499601; 55449970-55449976; 554499770-554499776; 5544998-5544999; 55459980-55459985; 554599860-554599862; 5545999; 55469990-55469993; 554699940-554699942; 55469997-55469998; 5547996; 55479970-55479978; 554799790-554799795; 5547999; 5548996; 55489980-55489986; 5548999; 55499980-55499983; 554999840-554999841; 5549999; 5551981-5551982; 55519830-55519835; 5553981; 555399911-555399913; 555399915; 555399981-555399983; 555399985-555399989; 5554981; 5555981; 5561981-5561982; 55619830-55619837; 556198380-556198385; 5562981-5562982; 55629830-55629833; 556298340-556298346; 55639810-55639815; 5564981; 5565981; 5566981; 5567981; 55679820-55679821; 556798220-556798224; 55689810-55689811; 556898120-556898124; 5569981; 5571991-5571993; 55719940; 557199410-557199418; 5573991; 5574991; 5575991-5575992; 557599300-557599302; 5577991; 55779920; 557799210-557799214; 5579991; 55819790; 558197910-558197916; 5581995-5581999; 5582996; 55829980-55829983; 558299840-558299844; 5582999; 5583996; 55839980-55839988; 558399890-558399896; 5583999; 558493503; 5584996; 55849970; 558499710; 5584998-5584999; 5585996-5585997; 55859980-55859986; 558599870-558599872; 5585999; 55869980-55869985; 558699860-558699867; 5586999; 55879960-55879967; 558799680-558799683; 558799709; 55879980-55879981; 558799820-558799827; 5587999; 5588996-5588997; 55889980-55889986; 558899870-558899874; 5588999; 5589999; 55919801-55919809; 5591981-5591983; 55919890-55919898; 559198990-559198996; 55919980-55919983; 559199840; 5592981; 55929820-55929828; 559298290-559298293; 55939810-55939812; 559398130-559398131; 559398133-559398134; 5594981; 55959810-55959812; 55969810-55969814; 55979810-55979812; 5598981-5598982; 55989830-55989834; 559898350-559898356; 5599981; 55999820-55999822; 559998234; 559998236-559998239; 55999824-55999827; 559998285</t>
  </si>
  <si>
    <t>BRAZIL-MOBILE VIVO</t>
  </si>
  <si>
    <t>55119302-55119309; 55119324-55119329; 551193308-551193309; 55119331-55119341; 5511941-5511943; 55119444-55119449; 55119502-55119509; 55119530-55119531; 551195320-551195324; 551195472-551195474; 551195500; 551195520; 551195530; 551195540; 551195550-551195552; 551195554-551195559; 551195569-551195571; 551195577-551195579; 55119558-55119559; 551195600; 551195602; 551195604-551195610; 551195617-551195619; 551195628-551195629; 55119563-55119569; 551195769; 55119577; 551195780-551195786; 551196057-551196060; 551196182-551196189; 55119619; 55119637-55119641; 55119647-55119649; 55119684-55119685; 551196860-551196866; 55119690; 551196910-551196913; 551197087-551197089; 55119709; 5511971-5511975; 5511995-5511999; 5512996-5512997; 551299800; 5513996-5513997; 5514996-5514998; 55149990-55149992; 551499930-551499935; 5515996-5515998; 55169960-55169964; 551699650-551699656; 5516997; 551699961-551699964; 551699975; 551699991-551699994; 55179960-55179968; 551799701-551799709; 55179971-55179978; 551799791-551799794; 5518996-5518997; 55189980-55189983; 551899840-551899843; 5519971; 5519996-5519999; 55219510-55219511; 552195120-552195123; 5521967; 5521971-5521972; 5521995-5521999; 55229960-55229964; 552299650-552299653; 5522997-5522999; 552499811-552499819; 55249982-55249988; 552499890-552499894; 552499901-552499909; 55249991-55249999; 55279710; 552797110-552797113; 5527995-5527999; 552899881-552899886; 552899896-552899899; 55289990-55289995; 552899961-552899969; 55289997-55289999; 5531971; 55319720-55319723; 553197240-553197241; 5531972420; 5531972425-5531972428; 5531995-5531999; 55329980-55329984; 553299850-553299851; 5532999; 55339980-55339982; 553399830-553399831; 5533999; 55349980-55349983; 553499840-553499843; 553499901-553499909; 55349991-55349995; 553499981-553499989; 55359970-55359976; 553599770-553599778; 553599780-553599781; 5535998; 55359990-55359998; 553599990; 553599992-553599997; 553799801-553799809; 553799811-553799819; 55379982-55379983; 553799840-553799846; 553799855-553799859; 55379986-55379987; 553799901-553799909; 553799911-553799919; 553799921-553799929; 553799931-553799939; 553799941-553799949; 553799951-553799959; 553799961-553799969; 55379998; 553799991-553799999; 553899722-553899729; 55389973-55389975; 553899760-553899767; 55389980-55389987; 553899880-553899886; 553899889; 55389989; 5538999; 5541991-5541992; 55429910-55429916; 5543991; 554399200-554399202; 5544991; 55459910-55459916; 554599170-554599177; 554599179; 554599181-554599189; 55459919; 55469910-55469913; 554699140-554699145; 554699147-554699149; 55469915-55469919; 5547991-5547992; 55479930; 554799310-554799317; 5548991; 554899200-554899202; 5549991; 554999200-554999206; 555197100-555197106; 55519801-55519809; 5551995-5551999; 55539970; 555399710-555399713; 55539990; 555399910; 555399919; 55539992; 555399930-555399938; 55539994-55539997; 555399980; 55539999; 5554996; 55549970-55549975; 555499760-555499762; 5554999; 5555996; 55559970-55559975; 555599760-555599762; 5555999; 556199601-556199609; 55619961-55619969; 5561998; 556199901-556199909; 55619991-55619999; 5562996; 556299700-556299702; 5562998-5562999; 556399644; 556399658; 556399695; 556399902; 556399906; 556399911-556399919; 55639992-55639998; 556399991-556399999; 55649960-55649961; 556499620-556499627; 556499641-556499648; 556499652-556499655; 556499658; 556499671; 556499673-556499676; 556499694-556499697; 556499699; 55649990; 556499910-556499912; 556499915-556499919; 556499921-556499929; 556499931-556499939; 556499941-556499949; 55649995; 556499960-556499965; 556499967-556499969; 55649997-55649998; 556499990-556499991; 556499994-556499998; 55659960-55659965; 556599660-556599665; 556599667-556599669; 55659967-55659969; 55659980-55659984; 556599850; 5565999; 5566996; 55669970-55669973; 556699740-556699741; 5566999; 55679960-55679965; 556799660-556799665; 556799667-556799669; 55679967-55679973; 55679980-55679988; 556799890-556799897; 55679990-55679995; 556799960-556799965; 556799967-556799969; 55679997-55679998; 556799990-556799991; 556799994-556799999; 55689960-55689961; 556899620; 5568999; 55699960-55699961; 556999620-556999621; 5569999; 5571996; 55719970-55719977; 557199780-557199783; 5571999; 55739980-55739987; 557399880; 5573999; 55749980-55749981; 557499820-557499827; 5574999; 55759970-55759973; 557599740-557599743; 55759980-55759988; 557599890-557599897; 5575999; 557799700-557799702; 55779980-55779989; 5577999; 5579996; 55799970-55799972; 5579998-5579999; 55819710-55819713; 558197140-558197144; 5581981-5581982; 5582981; 55829820-55829823; 558298240-558298248; 5583981; 55839820-55839822; 558398230-558398234; 5584981; 558498200-558498201; 5585981; 55859820-55859822; 5586981; 558698200-558698205; 55879810-55879817; 558798180-558798182; 55889810-55889816; 55899810-55899814; 558998150-558998152; 5591991-5591993; 55919940-55919941; 559199420-559199424; 559199959; 5592991-5592995; 5593991; 55939920-55939925; 5594991-5594992; 55949930-55949932; 559499330-559499335; 55959911-55959917; 5596991; 55969920-55969921; 559699220; 559799135-559799139; 55979914-55979919; 5598991; 55989920-55989922; 55989924-55989926; 5599991; 55999920-55999924; 559999250-559999251</t>
  </si>
  <si>
    <t>BRAZIL-RIO DE JANEIRO</t>
  </si>
  <si>
    <t>5521</t>
  </si>
  <si>
    <t>BRAZIL-SAO PAULO</t>
  </si>
  <si>
    <t>5511-5519</t>
  </si>
  <si>
    <t>BRITISH VIRGIN ISLANDS</t>
  </si>
  <si>
    <t>1284</t>
  </si>
  <si>
    <t>BRITISH VIRGIN ISLANDS-MOB DIG</t>
  </si>
  <si>
    <t>1284300; 1284340-1284347; 1284368; 1284393-1284394</t>
  </si>
  <si>
    <t>BRITISH VIRGIN ISLANDS-MOB OTH</t>
  </si>
  <si>
    <t>1284301; 1284348-1284349; 1284440-1284446; 1284468-1284469; 1284496; 1284499; 1284540-1284547; 1284596; 1284599; 1284689; 128486900-128486901; 1284960</t>
  </si>
  <si>
    <t>BRUNEI</t>
  </si>
  <si>
    <t>673</t>
  </si>
  <si>
    <t>BRUNEI-MOBILE</t>
  </si>
  <si>
    <t>673228-673229; 67371-67375; 673769; 67377; 673799; 67381-67384; 67386-67389</t>
  </si>
  <si>
    <t>BULGARIA</t>
  </si>
  <si>
    <t>359</t>
  </si>
  <si>
    <t>BULGARIA-MOBILE GLOBUL</t>
  </si>
  <si>
    <t>35943089; 35989; 3599964-3599966; 3599994-3599995</t>
  </si>
  <si>
    <t>BULGARIA-MOBILE MOBILTEL</t>
  </si>
  <si>
    <t>3594308888; 35988; 359988-359989; 3599960-3599962; 3599990-3599993</t>
  </si>
  <si>
    <t>BULGARIA-MOBILE OTHERS</t>
  </si>
  <si>
    <t>3594308777; 35987; 3599967; 3599996</t>
  </si>
  <si>
    <t>BULGARIA-OTHERS</t>
  </si>
  <si>
    <t>35924; 3593015; 35930454; 35930519; 3593069; 35930719; 35930729; 3593089; 3593099; 35931009; 3593115; 3593118; 35931238; 35931339; 3593134; 359313890; 35931439; 35931459; 35931517-35931519; 3593189; 35931919; 359323; 359325; 3593281; 35933138-35933139; 3593319; 3593355; 3593369; 3593379; 3593399; 359349; 35935089; 3593509; 359352999; 35935328; 35935429; 359355029; 35935529; 35935538-35935539; 35935618-35935619; 3593579; 35935819; 3593597; 35935989; 3593615; 35936318-35936319; 359363285; 35936329; 35936419; 35936519; 35936619; 35936798-35936799; 359369192; 35937208; 3593739; 35937819; 3593799; 359385; 35939131; 35939133; 3593917; 3593919; 3594168; 3594173; 3594179; 359429; 3594315; 3594319; 35943619; 3594441; 359445; 3594539; 3594575; 3594579; 359469; 35947619; 3594789; 35951129; 359511999; 35951318; 35951427; 359514590; 35951535; 3595179; 3595185; 3595195; 359524; 3595280-3595283; 359529; 359531099; 359531199; 359531299; 359531399; 35953279; 35953289; 359533090; 35953419; 35953518; 35953619; 359536390; 3595379; 3595389; 3595391; 359549; 3595507; 3595509; 35955158; 35955189; 3595545; 3595547; 3595549; 35955519; 3595569; 35955878; 3595588; 3595598; 35956700-35956701; 3595671; 359569; 3595709; 35957317; 35957319; 35957439; 35957518-35957519; 3595795; 3595799; 359585; 3595909; 35959449; 3595965; 359600199; 359600299; 359600399; 359600699; 359600799; 3596015; 3596017; 3596019; 359602090; 359602290; 359602490; 359603090; 359603499; 359603800; 35960398-35960399; 3596058; 359607178; 35960718-35960719; 3596085; 3596109; 359614058; 35961418-35961419; 35961519; 35961619; 359616399; 35961884-35961886; 3596189; 3596199; 359625; 35963187; 3596319; 359632049; 359649; 3596509; 35965138; 35965148-35965149; 35965159; 35965419; 35965618-35965619; 3596585; 3596592; 359669; 3596709; 3596759; 3596769; 3596779; 3596789; 359685; 35969418-35969419; 3596979; 3597; 35981229; 35981409; 35981419; 35981619; 359816590; 3598179; 359825; 359842488-359842489; 35984249; 35984319; 359843929; 35984429; 359845; 359847329; 35984759; 35984773; 3598489; 359862599; 359862699; 35986368-35986369; 35986420; 35986428; 3598649; 359865; 35986605; 35986608; 35986639; 35986690; 35986698-35986699; 3599105; 35991238; 35991329; 3599159; 359916390; 35991719; 359929; 35993249; 3599389; 359949; 3599527; 3599539; 35995549; 359965; 3599717-3599718; 3599735; 3599739; 35997429</t>
  </si>
  <si>
    <t>BULGARIA-SPECIAL SVC</t>
  </si>
  <si>
    <t>3591; 359437-359439; 35948; 359700; 359800; 35990; 359980-359987</t>
  </si>
  <si>
    <t>BURKINA FASO</t>
  </si>
  <si>
    <t>226</t>
  </si>
  <si>
    <t>BURKINA FASO-FIXED ORANGE</t>
  </si>
  <si>
    <t>2262065-2262066; 2262465-2262466; 2262565-2262568</t>
  </si>
  <si>
    <t>BURKINA FASO-MOBILE AIRTEL</t>
  </si>
  <si>
    <t>22604-22607; 22654-22657; 22664-22667; 22674-22677</t>
  </si>
  <si>
    <t>BURKINA FASO-MOBILE OTHERS</t>
  </si>
  <si>
    <t>22601-22603; 22650-22653; 22660-22663; 22670-22673</t>
  </si>
  <si>
    <t>BURKINA FASO-MOBILE TELECEL</t>
  </si>
  <si>
    <t>22658; 22668-22669; 22678-22679</t>
  </si>
  <si>
    <t>BURUNDI</t>
  </si>
  <si>
    <t>257</t>
  </si>
  <si>
    <t>BURUNDI-MOBILE AFRICELL</t>
  </si>
  <si>
    <t>25778</t>
  </si>
  <si>
    <t>BURUNDI-MOBILE OTHERS</t>
  </si>
  <si>
    <t>2573; 2576-2577</t>
  </si>
  <si>
    <t>BURUNDI-MOBILE UCOM</t>
  </si>
  <si>
    <t>25776</t>
  </si>
  <si>
    <t>BURUNDI-ONKOD</t>
  </si>
  <si>
    <t>257161</t>
  </si>
  <si>
    <t>BURUNDI-PREM SVC</t>
  </si>
  <si>
    <t>257613-257617</t>
  </si>
  <si>
    <t>BURUNDI-PRIVACELL</t>
  </si>
  <si>
    <t>2578977</t>
  </si>
  <si>
    <t>CAMBODIA</t>
  </si>
  <si>
    <t>855</t>
  </si>
  <si>
    <t>CAMBODIA-METFONE FIXED</t>
  </si>
  <si>
    <t>8552346; 855236; 8552446; 855246; 8552546; 855256; 8552646; 855266; 8553246; 855326; 8553346; 855336; 8553446; 855346; 8553546; 855356; 8553646; 855366; 8554246; 855426; 8554346; 855436; 8554446; 855446; 8555246; 855526; 8555346; 855536; 8555446; 855546; 8555546; 855556; 8556246; 855626; 8556346; 855636; 8556446; 855646; 8556546; 855656; 8557246; 855726; 8557346; 855736; 8557446; 855746; 8557546; 855756</t>
  </si>
  <si>
    <t>CAMBODIA-MOBILE CELLCARD</t>
  </si>
  <si>
    <t>85511-85512; 85514; 85517; 855235; 85561; 85576-85578; 85585; 85589; 85592; 85595; 85599</t>
  </si>
  <si>
    <t>CAMBODIA-MOBILE METFONE</t>
  </si>
  <si>
    <t>85531; 85560; 85566-85568; 85571; 85588; 85590; 85597</t>
  </si>
  <si>
    <t>CAMBODIA-MOBILE OTHERS</t>
  </si>
  <si>
    <t>8551; 85538-85539; 85579; 8558-8559</t>
  </si>
  <si>
    <t>CAMBODIA-MOBILE SMART</t>
  </si>
  <si>
    <t>85510; 85515-85516; 85569-85570; 85581; 85586-85587; 85593; 85596; 85598</t>
  </si>
  <si>
    <t>CAMEROON</t>
  </si>
  <si>
    <t>237</t>
  </si>
  <si>
    <t>CAMEROON-MOBILE MTN</t>
  </si>
  <si>
    <t>237650-237654; 23767; 237680-237683</t>
  </si>
  <si>
    <t>CAMEROON-MOBILE MTN SPECIAL NR</t>
  </si>
  <si>
    <t>23788870007-23788870009; 2378887001-2378887009; 237888701-237888704; 23788870500-23788870506</t>
  </si>
  <si>
    <t>CAMEROON-MOBILE NEXTTEL</t>
  </si>
  <si>
    <t>23766; 237685</t>
  </si>
  <si>
    <t>CAMEROON-MOBILE ORANGE</t>
  </si>
  <si>
    <t>2376400-2376408; 23764090-23764095; 237655-237659; 237686-237689; 23769</t>
  </si>
  <si>
    <t>CAMEROON-MOBILE OTHERS</t>
  </si>
  <si>
    <t>2376</t>
  </si>
  <si>
    <t>CAMEROON-YAOUNDE</t>
  </si>
  <si>
    <t>23722</t>
  </si>
  <si>
    <t>CANADA</t>
  </si>
  <si>
    <t>1204; 1249; 1273; 1306; 1367; 1418; 1428; 1431; 1460; 1468; 1474; 1506; 1579; 1581; 1584; 1600; 1622; 1639; 1705; 1709; 1782; 1807; 1819; 1851; 1873; 1879; 1902</t>
  </si>
  <si>
    <t>CANADA-EASTERN</t>
  </si>
  <si>
    <t>1226; 1263; 1289; 1343; 1354; 1365; 1382; 1416; 1437-1438; 1450; 1487; 1514; 1519; 1537; 1548; 1613; 1647; 1683; 1742; 1753; 1871; 1905; 1942</t>
  </si>
  <si>
    <t>CANADA-WESTERN</t>
  </si>
  <si>
    <t>1236; 1250; 1257; 1368; 1403; 1568; 1587; 1604; 1672; 1778; 1780; 1825</t>
  </si>
  <si>
    <t>CANADA-YUKON TERRITORY</t>
  </si>
  <si>
    <t>1250622; 1250624; 1250627; 1867</t>
  </si>
  <si>
    <t>CAPE VERDE</t>
  </si>
  <si>
    <t>238</t>
  </si>
  <si>
    <t>CAPE VERDE-FIXED OTHERS</t>
  </si>
  <si>
    <t>23834-23835; 238450-238454</t>
  </si>
  <si>
    <t>CAPE VERDE-MOB CVTCOM</t>
  </si>
  <si>
    <t>23836; 23846; 23858-23859; 23895; 23897-23899</t>
  </si>
  <si>
    <t>CAPE VERDE-MOB OTHERS</t>
  </si>
  <si>
    <t>23833; 23843; 23851-23853; 23891-23893</t>
  </si>
  <si>
    <t>CAYMAN ISLANDS</t>
  </si>
  <si>
    <t>1345</t>
  </si>
  <si>
    <t>CAYMAN ISLANDS-MOBILE CW</t>
  </si>
  <si>
    <t>1345916-1345917; 1345919; 1345922-1345929; 1345936-1345939; 134599</t>
  </si>
  <si>
    <t>CAYMAN ISLANDS-MOBILE DIGICEL</t>
  </si>
  <si>
    <t>134532; 1345421-1345429; 1345514; 1345516-1345517; 1345525-1345527; 1345529; 1345545-1345550; 13456323; 1345649</t>
  </si>
  <si>
    <t>CAYMAN ISLANDS-MOBILE OTHERS</t>
  </si>
  <si>
    <t>1345229; 1345249; 1345616-1345617; 1345625; 1345629-1345630; 1345645-1345647; 1345930</t>
  </si>
  <si>
    <t>CENTRAL AFRICAN REP</t>
  </si>
  <si>
    <t>236</t>
  </si>
  <si>
    <t>CENTRAL AFRICAN REP-MOB MOOV</t>
  </si>
  <si>
    <t>23670</t>
  </si>
  <si>
    <t>CENTRAL AFRICAN REP-MOB NLINK</t>
  </si>
  <si>
    <t>23677</t>
  </si>
  <si>
    <t>CENTRAL AFRICAN REP-MOB ORANGE</t>
  </si>
  <si>
    <t>23672-23674</t>
  </si>
  <si>
    <t>CENTRAL AFRICAN REP-MOB S EAST</t>
  </si>
  <si>
    <t>2367735-2367739</t>
  </si>
  <si>
    <t>CENTRAL AFRICAN REP-MOB SMART</t>
  </si>
  <si>
    <t>2367711</t>
  </si>
  <si>
    <t>CENTRAL AFRICAN REP-MOB TELCEL</t>
  </si>
  <si>
    <t>23675-23676</t>
  </si>
  <si>
    <t>CENTRAL AFRICAN REP-PREM SVC</t>
  </si>
  <si>
    <t>23621-23622; 23636</t>
  </si>
  <si>
    <t>CENTRAL AFRICAN REP-VAS</t>
  </si>
  <si>
    <t>236877</t>
  </si>
  <si>
    <t>CHAD</t>
  </si>
  <si>
    <t>235</t>
  </si>
  <si>
    <t>CHAD-MOBILE AIRTEL</t>
  </si>
  <si>
    <t>2356; 23585-23587</t>
  </si>
  <si>
    <t>CHAD-MOBILE MILLICOM</t>
  </si>
  <si>
    <t>2359</t>
  </si>
  <si>
    <t>CHAD-MOBILE OTHERS</t>
  </si>
  <si>
    <t>235223-235224; 235227-235229; 2357</t>
  </si>
  <si>
    <t>CHILE</t>
  </si>
  <si>
    <t>56</t>
  </si>
  <si>
    <t>CHILE-EASTER ISLAND</t>
  </si>
  <si>
    <t>5632210; 5632255</t>
  </si>
  <si>
    <t>CHILE-MOBILE</t>
  </si>
  <si>
    <t>569</t>
  </si>
  <si>
    <t>CHILE-RURAL</t>
  </si>
  <si>
    <t>5611; 5615; 562196-562198; 5622572; 5622593; 5622788; 5622868; 56228905-56228909; 5622917; 5622929-5622930; 5622993; 5622997; 562572; 562593; 562788; 562868; 5632196-5632198; 5633196-5633198; 56332196-56332198; 5634196-5634198; 56342196-56342198; 5635196-5635198; 56352196-56352198; 5641196-5641198; 5642196-5642198; 56422196-56422198; 5642237; 5642297; 564237; 564297; 5643196-5643198; 56432196-56432198; 5643237; 5643297; 564337; 564397; 5644; 5645196-5645198; 56452196-56452198; 5645235; 56452920-56452924; 564535; 5645920-5645924; 5651195-5651198; 5652196-5652198; 56522196-56522198; 5653196-5653198; 56532196-56532198; 5655196-5655198; 56552196-56552198; 5657196-5657198; 56572196-56572198; 5658196-5658198; 56582196-56582198; 5661196-5661198; 56612-56619; 5663196-5663198; 56632196-56632198; 5663237; 5663297; 566337; 566397; 5664196-5664198; 56642970-56642971; 56642979; 566497; 5665196-5665198; 56652196-56652198; 5665233; 56652970-56652972; 5665970-5665972; 5667196-5667198; 56672198; 5671196-5671198; 56712196-56712198; 5671237; 5671297; 567137; 567197; 5672196-5672198; 56722196-56722198; 5673196-5673198; 56732196-56732198; 5673237; 5673279; 5673297; 567337; 567379; 567397; 5675196-5675198; 56752196-56752198; 5675297; 567597</t>
  </si>
  <si>
    <t>CHILE-SANTIAGO</t>
  </si>
  <si>
    <t>562</t>
  </si>
  <si>
    <t>CHINA</t>
  </si>
  <si>
    <t>86</t>
  </si>
  <si>
    <t>CHINA-BEIJING</t>
  </si>
  <si>
    <t>8610</t>
  </si>
  <si>
    <t>CHINA-MOBILE</t>
  </si>
  <si>
    <t>8613-8619</t>
  </si>
  <si>
    <t>CHINA-MOBILE CHINA TELECOM</t>
  </si>
  <si>
    <t>86133; 86149; 86153; 86162; 861700-861702; 86173; 861740; 86177; 86180-86181; 86189-86191; 86193; 86199</t>
  </si>
  <si>
    <t>CHINA-MOBILE CM</t>
  </si>
  <si>
    <t>86134-86139; 861440; 86147-86148; 86150-86152; 86157-86159; 86165; 861703; 861705-861706; 86172; 86178; 86182-86184; 86187-86188; 86198</t>
  </si>
  <si>
    <t>COLOMBIA</t>
  </si>
  <si>
    <t>57</t>
  </si>
  <si>
    <t>COLOMBIA-MOBILE AVANTEL</t>
  </si>
  <si>
    <t>57350</t>
  </si>
  <si>
    <t>COLOMBIA-MOBILE COMCEL</t>
  </si>
  <si>
    <t>57310-57314; 57320-57322; 573232-573235</t>
  </si>
  <si>
    <t>COLOMBIA-MOBILE MOVISTAR</t>
  </si>
  <si>
    <t>57315-57319; 573300; 5733300-5733304; 5733310-5733317; 5733365-5733366; 57333670-57333674</t>
  </si>
  <si>
    <t>COLOMBIA-MOBILE OTHERS</t>
  </si>
  <si>
    <t>573</t>
  </si>
  <si>
    <t>COLOMBIA-MOBILE TIGO</t>
  </si>
  <si>
    <t>57300-57305; 5733360-5733364</t>
  </si>
  <si>
    <t>COMOROS</t>
  </si>
  <si>
    <t>269</t>
  </si>
  <si>
    <t>COMOROS-MOBILE</t>
  </si>
  <si>
    <t>2693</t>
  </si>
  <si>
    <t>COMOROS-MOBILE TELCO</t>
  </si>
  <si>
    <t>2694</t>
  </si>
  <si>
    <t>COMOROS-SPECIAL SVCS</t>
  </si>
  <si>
    <t>2693905-2693909; 269391; 2698-2699</t>
  </si>
  <si>
    <t>COMOROS-WIAIR</t>
  </si>
  <si>
    <t>2699000-2699004; 2699105-2699109</t>
  </si>
  <si>
    <t>CONGO</t>
  </si>
  <si>
    <t>242</t>
  </si>
  <si>
    <t>CONGO DRC (ZAIRE)</t>
  </si>
  <si>
    <t>243</t>
  </si>
  <si>
    <t>CONGO DRC (ZAIRE)-MOB AFRICELL</t>
  </si>
  <si>
    <t>24390-24391</t>
  </si>
  <si>
    <t>CONGO DRC (ZAIRE)-MOB ORANGE</t>
  </si>
  <si>
    <t>24380; 24384-24385; 24389</t>
  </si>
  <si>
    <t>CONGO DRC (ZAIRE)-MOB OTHERS</t>
  </si>
  <si>
    <t>24378</t>
  </si>
  <si>
    <t>CONGO DRC (ZAIRE)-MOB TATEM</t>
  </si>
  <si>
    <t>24387</t>
  </si>
  <si>
    <t>CONGO DRC (ZAIRE)-MOBILE VODAC</t>
  </si>
  <si>
    <t>24381-24383; 24386</t>
  </si>
  <si>
    <t>CONGO DRC (ZAIRE)-MOBILE ZAIN</t>
  </si>
  <si>
    <t>24396-24399</t>
  </si>
  <si>
    <t>CONGO DRC (ZAIRE)-PRS PHONEGRO</t>
  </si>
  <si>
    <t>2438098-2438099</t>
  </si>
  <si>
    <t>CONGO DRC (ZAIRE)-SPECIAL SVCS</t>
  </si>
  <si>
    <t>243123-243124; 243127; 243133; 243141; 24342-24343; 243738; 243770</t>
  </si>
  <si>
    <t>CONGO-AZUR PRS</t>
  </si>
  <si>
    <t>242014</t>
  </si>
  <si>
    <t>CONGO-EQUATOR</t>
  </si>
  <si>
    <t>242800</t>
  </si>
  <si>
    <t>CONGO-GRT PRS</t>
  </si>
  <si>
    <t>24280020; 24280110-24280114</t>
  </si>
  <si>
    <t>CONGO-MOBILE AIRTEL</t>
  </si>
  <si>
    <t>24204-24205; 2424-2425</t>
  </si>
  <si>
    <t>CONGO-MOBILE MTN</t>
  </si>
  <si>
    <t>242064-242069; 24265-24269</t>
  </si>
  <si>
    <t>CONGO-MOBILE OTHERS</t>
  </si>
  <si>
    <t>24201</t>
  </si>
  <si>
    <t>COOK ISLANDS</t>
  </si>
  <si>
    <t>682</t>
  </si>
  <si>
    <t>COOK ISLANDS-MOBILE</t>
  </si>
  <si>
    <t>6825; 6827-6828</t>
  </si>
  <si>
    <t>COSTA RICA</t>
  </si>
  <si>
    <t>506</t>
  </si>
  <si>
    <t>COSTA RICA-MOBILE CLARO</t>
  </si>
  <si>
    <t>5067</t>
  </si>
  <si>
    <t>COSTA RICA-MOBILE ICE</t>
  </si>
  <si>
    <t>5068</t>
  </si>
  <si>
    <t>COSTA RICA-MOBILE MOVISTAR</t>
  </si>
  <si>
    <t>5066</t>
  </si>
  <si>
    <t>COSTA RICA-MOBILE OTHERS</t>
  </si>
  <si>
    <t>5065</t>
  </si>
  <si>
    <t>COSTA RICA-SPECIAL SVCS</t>
  </si>
  <si>
    <t>5064</t>
  </si>
  <si>
    <t>CROATIA</t>
  </si>
  <si>
    <t>385</t>
  </si>
  <si>
    <t>CROATIA-MOBILE OTHERS</t>
  </si>
  <si>
    <t>38589097-38589099; 38597-38599</t>
  </si>
  <si>
    <t>CROATIA-MOBILE TELE2</t>
  </si>
  <si>
    <t>385901; 38595</t>
  </si>
  <si>
    <t>CROATIA-MOBILE VIPNET</t>
  </si>
  <si>
    <t>38589091; 38591-38592</t>
  </si>
  <si>
    <t>CUBA</t>
  </si>
  <si>
    <t>53</t>
  </si>
  <si>
    <t>CYPRUS</t>
  </si>
  <si>
    <t>357</t>
  </si>
  <si>
    <t>CYPRUS-MOB PRIMETEL</t>
  </si>
  <si>
    <t>35795</t>
  </si>
  <si>
    <t>CYPRUS-MOBILE CYTA</t>
  </si>
  <si>
    <t>35797; 35799</t>
  </si>
  <si>
    <t>CYPRUS-MOBILE MTN</t>
  </si>
  <si>
    <t>357942; 35796</t>
  </si>
  <si>
    <t>CYPRUS-MOBILE OTHERS</t>
  </si>
  <si>
    <t>35794</t>
  </si>
  <si>
    <t>CYPRUS-SPECIAL SVCS</t>
  </si>
  <si>
    <t>357700; 3577777</t>
  </si>
  <si>
    <t>CZECH REPUBLIC</t>
  </si>
  <si>
    <t>420</t>
  </si>
  <si>
    <t>CZECH REPUBLIC-MOBILE O2</t>
  </si>
  <si>
    <t>420601-420602; 420606-420607; 420702; 4207050-4207054; 42072; 420792; 4207941-4207948; 4207950-4207951; 420960-420962; 420966</t>
  </si>
  <si>
    <t>CZECH REPUBLIC-MOBILE OTHERS</t>
  </si>
  <si>
    <t>4206; 42079</t>
  </si>
  <si>
    <t>CZECH REPUBLIC-MOBILE TMOBILE</t>
  </si>
  <si>
    <t>420603-420605; 420703; 4207046; 4207048-4207049; 4207055-4207056; 42070570; 4207058-4207059; 42073; 42077051-42077052; 42077073; 42077077; 42077177; 42077272-42077273; 42077277; 42077880; 42077997; 42077999; 42079058; 42079083; 42079191-42079193; 42079390-42079391; 4207976-4207978; 42079797; 42079799; 42079900-42079901; 42079910; 42079920; 42079950-42079958; 42079979-42079980; 42079999; 42093; 420963-420965</t>
  </si>
  <si>
    <t>CZECH REPUBLIC-MOBILE VODAFONE</t>
  </si>
  <si>
    <t>420608; 4207040-4207045; 4207047; 42077; 420967</t>
  </si>
  <si>
    <t>DENMARK</t>
  </si>
  <si>
    <t>45</t>
  </si>
  <si>
    <t>DENMARK-MOBILE BARABLU</t>
  </si>
  <si>
    <t>454281; 454284-454285; 454287-454290; 454293; 455063; 455068</t>
  </si>
  <si>
    <t>DENMARK-MOBILE HI3G</t>
  </si>
  <si>
    <t>452597; 4531; 453572-453573; 453575; 453620; 453650; 4537100129; 453710022; 4537100371; 45426; 454271-454274; 454283; 454291-454292; 454294-454295; 454310; 4549818; 455069; 455211-455212; 45535-45538; 45605; 4566333; 457190; 4581377; 4591305; 459360; 459380; 459383-459389; 45939</t>
  </si>
  <si>
    <t>DENMARK-MOBILE LYCAMOBILE</t>
  </si>
  <si>
    <t>45318; 455064; 45713-45716; 45718; 45914; 45916-45917</t>
  </si>
  <si>
    <t>DENMARK-MOBILE OTHERS</t>
  </si>
  <si>
    <t>452; 45300; 45310; 453235; 45400; 45410; 45506; 45510; 45520; 45530; 455595; 45600; 45610; 457071-457072; 45710; 457197-457198; 458071; 4581; 458874; 4591-4593; 459777; 4597979; 4598989; 459951</t>
  </si>
  <si>
    <t>DENMARK-MOBILE TDC</t>
  </si>
  <si>
    <t>451955; 45201-45205; 45211-45219; 45231-45238; 452390-452394; 452396-452399; 45241-45249; 452591-452593; 452595-452596; 452598; 45291-45299; 45301-45309; 4531312; 453570-453571; 453577; 453579; 453590; 453820; 45401-45404; 454275; 454314; 454412; 454414; 454880; 454940; 454950-454951; 455060-455061; 45511-45517; 455180-455187; 45519; 455210; 455220; 455230; 455240; 455250; 455258; 455430; 455433-455436; 455455; 455458; 456099; 45611-45613; 456140-456145; 456147-456149; 45615-45617; 4563604-4563606; 4566336; 456644; 456913-456917; 457170; 457172; 457177; 457192; 458140-458145; 458161; 458171-458175; 458177; 458188; 459113; 459115-459118; 45912; 459130; 459152-459158; 459189; 459210-459217; 459221-459222; 459270-459272; 459282; 459290; 459310; 459320; 459330-459331; 459340; 459381-459382</t>
  </si>
  <si>
    <t>DENMARK-MOBILE TELENOR</t>
  </si>
  <si>
    <t>45206-45209; 4522; 45251-45258; 452594; 4525980; 452599; 45319; 45321-45329; 45331-45339; 45342; 453434; 453445-453449; 45345-45349; 45351; 45356; 453574; 453576; 45361; 453710010-453710011; 4537100120-4537100128; 453710013-453710014; 4537100151-4537100158; 453710017-453710021; 4537100230-4537100234; 4537103710; 4537109977-4537109986; 45381-45389; 45391-45399; 45405-45409; 4541; 45424-45425; 454260; 454270; 454280; 454413; 454415; 454419; 454422; 454445; 45466; 454680-454681; 454745-454749; 4548404; 4548406; 4548449; 45484650; 4548467; 45484719; 4548475; 4548480; 4548485; 454849; 454888; 45493; 454941-454949; 454952-454956; 4549810; 4549812-4549817; 4549819; 45501-45505; 455062; 455065-455067; 45507-45509; 455222; 455225; 455233; 455242; 455244; 45525-45529; 45531; 455333; 45539; 455420-455422; 455431-455432; 455450-455454; 455456; 45551; 455520-455527; 455555; 455710-455711; 45597-45598; 456050; 45606-45608; 456090-456097; 45618-45619; 4562626; 456574; 4566200-4566202; 4566220; 4566222; 4566332; 4566334-4566335; 4566337-4566339; 4566400-4566401; 4566600; 456666; 456680-456684; 456969; 4569880; 4569890; 4569898; 4570161; 4570170-4570171; 4570180-4570181; 4570304-4570305; 4570307; 4570323; 4570343; 45703450; 4570400; 4570404; 4570444; 4570500; 4570505; 4570555; 4570600; 4570666; 4570700; 4570770; 4570777; 4570800; 4570818; 4570828; 4570838; 4570848; 4570858; 4570868; 4570900; 4570909; 4570999; 45711-45712; 457171; 457173-457176; 457178-457179; 457191; 457193-457196; 457199; 45721-45725; 457260; 457262; 457264-457270; 4572730-4572733; 4572735-4572737; 457281-457285; 4577100-4577102; 4577110-4577111; 457730-457736; 457740-457743; 457755; 457766; 457777; 457788-457789; 457799; 4580103; 458029; 4580900; 45811-45812; 458130-458136; 4581372; 4581379; 45815; 458160; 458162-458170; 458176; 458178-458187; 458189; 45819; 458282; 459110-459112; 459114; 459119; 459121; 459131-459139; 459150-459151; 459159; 45918-45919; 459218-459220; 459224; 459246-459249; 45925-45926; 459273-459279; 459284-459289; 459291-459298; 459312-459318; 459321-459329; 459334-459339; 459341-459349; 45935; 459364-459369; 459371-459373; 459375</t>
  </si>
  <si>
    <t>DENMARK-MOBILE TELIA</t>
  </si>
  <si>
    <t>452395; 4526-4528; 453533; 45371000; 4537100159; 4537100161-4537100169; 4537100237-4537100239; 453710034-453710036; 4537100370; 4537100372-4537100379; 453710038-453710039; 45371004-45371005; 453710060-453710061; 4537100620-4537100622; 45420-45423; 454276-454279; 454282; 454286; 454296-454299; 454311-454312; 454410-454411; 454416; 454418; 4545206; 455188-455189; 45521-45524; 455319; 45532-45534; 45601-45604; 456098; 456146; 456930; 4570300-4570302; 4570707; 4570778; 457870; 4580101; 4580401; 4580404; 458210; 4582110; 4582121; 4582140; 4582144; 4582160-4582162; 4582165; 4582168; 4582178; 4582194; 4582200-4582203; 4582205; 4582212; 4582214; 4582220-4582222; 4582225; 4582229; 4582248; 4582264; 4582267-4582268; 4582271-4582273; 45822778-45822779; 4582278; 4582281-4582282; 4582285; 4582288-4582289; 458230-458234; 4582356-4582357; 4582363; 4582374-4582376; 458238; 4582402; 4582407-4582408; 4582420; 4582424; 4582426; 458243; 4582450; 4582474; 4582515; 458252; 4582552; 4582554; 4582561-4582567; 458650; 458813; 458816-458820; 458824; 458827; 458830-458834; 458837-458838; 45884100; 458841010-458841019; 45884102-45884107; 458841080-458841089; 4588411-4588419; 458842-458843; 458851-458853; 458861-458863; 458870-458873; 458880-458883; 458887-458888; 458891-458893; 458896-458897; 458980</t>
  </si>
  <si>
    <t>DIEGO GARCIA</t>
  </si>
  <si>
    <t>246</t>
  </si>
  <si>
    <t>DJIBOUTI</t>
  </si>
  <si>
    <t>253</t>
  </si>
  <si>
    <t>DOMINICA</t>
  </si>
  <si>
    <t>1767</t>
  </si>
  <si>
    <t>DOMINICA-MOBILE DIGICEL</t>
  </si>
  <si>
    <t>1767315-1767317; 1767420-1767421; 1767612-1767618; 1767701-1767706</t>
  </si>
  <si>
    <t>DOMINICA-MOBILE OTHERS</t>
  </si>
  <si>
    <t>1767225; 1767235; 1767245; 1767265; 1767275-1767277; 1767285; 1767295</t>
  </si>
  <si>
    <t>DOMINICAN REPUBLIC</t>
  </si>
  <si>
    <t>1809; 1829; 1849</t>
  </si>
  <si>
    <t>DOMINICAN REPUBLIC-MOB OTHERS</t>
  </si>
  <si>
    <t>1809601-1809603; 1809605; 1809607-1809610; 1809613; 1809627; 1809653-1809654; 1809657; 1809660; 1809702-1809706; 1809708; 1809712-1809715; 1809779-1809781; 1809801-1809805; 1809815-1809817; 1809819-1809820; 1809845-1809858; 18098599; 180986; 1809873; 1809875-1809886; 1809889-1809890; 1809899; 1809901-1809907; 1809909-1809910; 1809912-1809919; 1809923-1809924; 1809931; 1809935; 1809949; 1809958; 1809961-1809969; 1809972-1809975; 1809977-1809984; 1809986; 1809988-1809989; 1809991; 1809993-1809996; 1829204; 1829221; 1829261-1829263; 1829273-1829276; 1829278-1829279; 1829281; 1829284-1829286; 1829299; 1829301; 1829305; 1829308; 1829333; 1829375; 1829379; 1829399; 1829401; 1829404; 1829410; 1829447-1829448; 1829450; 1829537; 1829539-1829540; 1829542; 1829554; 1829556-1829564; 1829566; 1829568-1829574; 1829576-1829580; 1829584-1829587; 1829589; 1829591-1829592; 1829598; 1829601-1829605; 1829610; 1829616; 1829630; 1829633; 1829640; 1829644; 1829650; 1829660; 1829662; 1829664; 1829669; 1829677-1829678; 1829686; 1829696-1829697; 1829701-1829702; 1829705; 1829707-1829709; 1829712-1829723; 1829725-1829731; 1829747; 1829754; 1829757; 1829770; 1829779; 1829787; 1829797; 1829801; 1829804; 1829806-1829808; 1829810; 1829820; 1829826; 1829830; 1829838; 1829845-1829851; 1829855; 1829858-1829861; 1829863-1829866; 1829868; 1829870; 1829872; 1829874-1829878; 1829880-1829887; 1829889-1829892; 1829898; 1829901-1829910; 1829912-1829919; 182992; 1829930; 1829932-1829934; 1829936-1829939; 1829941-1829945; 1829970; 1829979; 1829987-1829990; 1829993-1829994; 1849243-1849249; 184925-184927; 1849280-1849287; 1849312-1849316; 1849607; 1849620-1849621; 1849623-1849624; 1849626-1849629; 184963; 1849642; 1849707; 1849720; 1849750-1849754; 1849763; 1849785; 1849802-1849804; 1849806; 1849815-1849817; 1849845-1849848; 184985; 1849860-1849865; 1849867-1849869; 1849873; 1849875-1849876; 1849878-1849886; 1849889; 1849912; 1849915-1849919; 1849925</t>
  </si>
  <si>
    <t>DOMINICAN REPUBLIC-MOB TRICOM</t>
  </si>
  <si>
    <t>1809204; 1809280-1809282; 1809292-1809293; 1809301; 1809310; 1809321-1809327; 1809340-1809345; 1809348; 1809355; 1809366; 1809470; 180951569; 18095157-18095159; 1809624; 1809628-1809632; 1809634-1809635; 1809637; 1809639; 180964; 1809650-1809652; 1809656; 1809658-1809659; 1809874; 1809928-1809929; 1809932; 1809938-1809946; 1809990; 1809992; 1809999; 1829555; 1829710; 1849710</t>
  </si>
  <si>
    <t>DOMINICAN REPUBLIC-MOB VERIZON</t>
  </si>
  <si>
    <t>1809201; 1809203; 1809205-1809210; 1809212; 1809214; 18092223-18092225; 1809223-1809225; 1809228-1809230; 1809232; 1809235; 18092480; 18092482; 18092484-18092488; 1809249-1809254; 1809256-1809260; 1809264-1809272; 1809283-1809284; 1809297-1809299; 1809313; 1809330; 1809350-1809354; 1809356-1809361; 1809370-1809371; 1809374; 1809376-1809377; 1809383; 1809386-1809387; 1809389; 180939; 1809406; 1809424-1809429; 1809451-1809454; 1809456-1809465; 1809467; 1809474; 1809477-1809481; 1809484-1809486; 1809488; 180949; 1809501-1809502; 1809504-1809507; 1809509-1809510; 1809512-1809517; 1809519-1809520; 1809543; 1809545-1809546; 1809604; 1809606; 1809615; 1809618; 1809661-1809678; 1809693-1809694; 1809696-1809698; 1809707; 1809710; 1809720-1809723; 1809727; 1809729; 1809742-1809743; 1809747; 1809749-1809754; 1809756-1809765; 1809767-1809769; 1809771-1809776; 1809778; 1809782-1809783; 1809785-1809787; 1809789-1809791; 1809796; 1809798; 1809812; 1809814; 1809821; 1809827-1809829; 1809834-1809844; 1809870-1809871; 180988; 1809891; 18098930-18098932; 18098934-18098939; 1809897; 1809952-1809953; 1809956; 1829201-1829203; 1829205-1829210; 1829212-1829214; 1829216-1829220; 1829222-1829225; 1829228; 1829230; 1829232-1829233; 18292417; 1829246; 1829248; 1829250; 1829252; 1829255; 1829257-1829260; 1829264-1829272; 1829277; 1829280; 1829282-1829283; 1829287-1829298; 1829302; 1829310; 1829312-1829319; 182932; 1829330-1829332; 1829334-1829339; 182934-182936; 1829370-1829374; 1829376-1829377; 182938; 1829390-1829398; 1829406; 1829418-1829421; 1829423-1829429; 1829431-1829432; 1829436-1829439; 1829451-1829459; 182946; 1829470-1829472; 1829474-1829475; 1829477-1829479; 182948-182950; 1829510; 1829512-1829515; 1829517-1829519; 182952; 1829531-1829534; 1829536; 1829543; 1829546; 1829548-1829553; 1829599; 1829606; 1829613; 1829618-1829619; 182962; 1829631-1829632; 1829634-1829639; 1829641-1829643; 1829645-1829649; 1829651-1829659; 1829661; 1829663; 1829665; 1829667-1829668; 1829670-1829676; 1829679-1829680; 1829682-1829685; 1829689-1829695; 1829698-1829699; 1829703-1829704; 1829706; 1829740-1829745; 1829748-1829753; 1829755-1829756; 1829758-1829759; 182976; 1829771-1829776; 1829778; 1829780-1829786; 1829788-1829796; 1829798-1829799; 1829802-1829803; 1829805; 1829812; 1829814-1829817; 1829819; 1829821; 1829827-1829828; 1829835-1829837; 1829839-1829844; 1829852-1829854; 1829856-1829857; 1829862; 1829867; 1829869; 1829871; 1829873; 1829879; 1829894; 1829899; 1829931; 1829935; 1829940; 1829957-1829959; 182996; 1829972-1829975; 1829977-1829978; 1829980-1829986; 1829991; 1849201; 1849203; 1849205-1849210; 1849212; 1849214; 1849220; 1849330; 1849340-1849344; 1849350-1849354; 1849356-1849362; 184937-184939; 1849400-1849410; 1849423-1849429; 184943-184946; 1849470-1849472; 1849474-1849483; 1849485-1849499; 1849501-1849507; 1849512-1849541; 1849650-1849658</t>
  </si>
  <si>
    <t>DOMINICAN REPUBLIC-MOBILE VIVA</t>
  </si>
  <si>
    <t>1809215-1809219; 1809302-1809309; 1809315-1809319; 1809401-1809405; 1809407-1809410; 1809413; 1809415-1809421; 1809423; 1809430-1809434; 1809436-1809439; 180944; 1809614; 1809617; 1809619; 1809709; 1809716-1809719; 1809777; 1809818; 1809997-1809998; 1829215; 1829303-1829304; 1829306-1829307; 1829309; 1829402-1829403; 1829405; 1829407-1829409; 1829412-1829417; 1829422; 1829430; 1829440-1829446; 1829449; 1829777; 1829818; 1849213; 1849215-1849219; 1849221-1849235; 1849239-1849242; 1849305; 1849318; 1849367; 1849416; 1849437; 1849484; 1849542; 1849569; 1849573; 1849587; 1849590; 1849701; 1849711; 1849727; 1849739; 1849797; 1849814; 1849828; 1849874; 1849993</t>
  </si>
  <si>
    <t>DOMINICAN REPUBLIC-SANTIAGO</t>
  </si>
  <si>
    <t>1809233; 18092408; 180924098; 1809241; 18092427; 1809247; 18092650; 1809275-1809276; 1809295; 1809329; 1809336-1809337; 1809570; 18095715-18095716; 18095745; 1809575-1809576; 18095788; 1809582-1809583; 180958510-180958515; 18095855-18095856; 180958700-180958704; 18095871; 18095873-18095876; 180958790; 180958793-180958796; 180958799; 1809612; 1809625-1809626; 1809724; 1809734; 1809736; 18097550; 18097552; 180975530; 180975535; 180975540-180975543; 1809806; 1809825; 1809894; 1809921; 18099705; 1809971</t>
  </si>
  <si>
    <t>DOMINICAN REPUBLIC-SANTO DOMIN</t>
  </si>
  <si>
    <t>1809200; 1809202; 1809213; 1809220-1809221; 18092220-18092222; 18092226-18092229; 18092260-18092263; 18092265; 18092267-18092268; 180922690-180922693; 180922697; 1809227; 1809231; 1809234; 1809236-1809239; 18092403; 180924093; 180924300-180924302; 180924305-180924307; 18092433; 180924350-180924356; 18092438; 1809245; 18092550-18092556; 18092558; 180925598; 18092620-18092624; 180926250-180926253; 180926257; 180926260-180926266; 180926270; 180926272; 180926274-180926278; 180926280-180926282; 180926284; 180926291-180926292; 180926296-180926299; 1809263; 1809273-1809274; 18092850-18092851; 180928530; 180928532-180928533; 180928535; 180928538; 180928544; 180928547; 180928550-180928552; 180928555-180928556; 180928558; 180928560; 180928565-180928566; 18092857; 180928581; 180928585-180928586; 180928588-180928589; 18092859; 1809286; 18092870-18092873; 180928740-180928744; 180928748-180928749; 18092875-18092878; 1809289; 1809312; 1809314; 1809328; 1809331-1809335; 1809338; 18093620-18093621; 180936220; 180936230; 180936241; 180936255-180936256; 180936260-180936261; 180936287-180936288; 1809363-1809364; 1809368; 18093691; 180936940-180936944; 180936955-180936959; 18093696-18093699; 1809372-1809373; 1809375; 1809378-1809379; 1809381; 18093823-18093824; 18093840-18093841; 180938420; 180938440; 18093845-18093849; 1809385; 1809388; 1809411-1809412; 1809414; 18094700; 18094709-18094714; 18094716-18094719; 1809472-1809473; 1809475-1809476; 1809482-1809483; 1809487; 18094890-18094899; 1809508; 1809518; 18095234-18095237; 180952390; 180952392-180952399; 18095265; 180952690; 180953035-180953039; 1809531-1809537; 18095384-18095390; 18095394-18095398; 180953990; 1809540-1809542; 1809544; 18095452-18095453; 18095455; 18095457-18095458; 1809547-1809549; 180955964-180955969; 18095597-18095598; 180955990-180955991; 180956; 18095800-18095801; 18095803; 180958046-180958047; 18095805-18095808; 180958090-180958091; 180958093-180958099; 18095810-18095811; 18095813-18095819; 180959; 1809616; 1809620-1809623; 1809633; 1809636; 1809638; 1809655; 18096793; 18096795-18096799; 1809681-1809689; 18096910-18096913; 18096915; 1809692; 1809695; 1809699; 1809701; 1809726; 1809728; 1809730-1809732; 1809735; 180973784-180973789; 18097379; 1809738; 1809740-1809741; 1809745; 1809748; 180975544; 1809766; 18097700-18097701; 180977020; 180977030; 180977040; 180977080; 180977090; 180978406-180978407; 18097841-18097842; 180978430; 180978433-180978434; 180978457; 180978464; 180978474; 180978480; 180978483-180978484; 180978499; 1809788; 1809792-1809793; 180979410; 180979417; 180979420; 180979422; 180979440; 180979444-180979445; 180979449-180979450; 18097946-18097947; 180979480-180979486; 180979488; 18097951; 18097954; 180979550-180979551; 180979555; 1809797; 1809807; 18098102-18098104; 18098107-18098109; 1809826; 1809859; 180985998-180985999; 1809872; 1809887; 1809893; 1809908; 1809920; 1809922; 1809925-1809926; 1809930; 1809934; 1809937; 1809947-1809948; 1809950; 1809955; 1809957; 1809960; 180997060-180997062; 1809976; 1809985; 1809987; 1829200; 1829226-1829227; 1829229; 1829234-1829235; 1829239; 1829378; 1829473; 1829476; 1829495; 1829501; 1829507; 1829516; 1829535; 1829538; 1829541; 18295445-18295448; 1829545; 1829547; 1829565; 1829567; 1829575; 1829581-1829583; 1829590; 1829593-1829597; 1829607-1829609; 1829612; 1829681; 1829687-1829688; 1829724; 1829732-1829739; 18298313-18298319; 1829832-1829834; 1829893; 182989570-182989574; 1829946; 1829948; 1829950-1829956; 1829971; 1829999; 1849200; 1849303; 1849622; 1849625; 1849913-1849914; 1849936; 1849943-1849945</t>
  </si>
  <si>
    <t>DOMINICAN REPUBLIC-VIVA</t>
  </si>
  <si>
    <t>1809422; 1809435; 1809450; 1809503; 1829253-1829254; 1829256; 1829433-1829435; 1829503; 1829530; 1829666; 1829995-1829998; 1849288-1849296</t>
  </si>
  <si>
    <t>DOMINICA-PREM SVC</t>
  </si>
  <si>
    <t>1767502</t>
  </si>
  <si>
    <t>EAST TIMOR</t>
  </si>
  <si>
    <t>670</t>
  </si>
  <si>
    <t>ECUADOR</t>
  </si>
  <si>
    <t>593</t>
  </si>
  <si>
    <t>ECUADOR-CUENCA ETAPA</t>
  </si>
  <si>
    <t>59327001-59327002; 593270030-593270035; 593270900-593270902; 593370000; 593370950-593370951; 59347040-59347043; 593470440-593470441; 59357000; 593670000; 593720; 59372320-59372321; 593723233-593723239; 593723248-593723249; 59372325; 593723265-593723269; 593723272-593723279; 59372328-59372329; 5937233-5937240; 5937244-5937249; 593728; 59372900; 593729010-593729015; 593740-593741; 593742000-593742004; 59374203; 59374205; 59374207; 59374209; 593742110-593742115; 59374213-59374215; 593770000-593770004; 593770010-593770011; 593770040; 59377005; 593770060-593770062</t>
  </si>
  <si>
    <t>ECUADOR-FIXED CNT</t>
  </si>
  <si>
    <t>5932-5937</t>
  </si>
  <si>
    <t>ECUADOR-MOBILE ALLEGRO</t>
  </si>
  <si>
    <t>593960-593961; 5939620-5939624; 5939820-5939824; 593996</t>
  </si>
  <si>
    <t>ECUADOR-MOBILE MOVISTAR</t>
  </si>
  <si>
    <t>5939586-5939589; 59396251-59396259; 5939626-5939629; 593963; 5939640-5939642; 5939690; 5939786-5939793; 5939830-5939835; 5939837-5939839; 593984; 593987; 5939925-5939929; 593995; 593998; 5939990; 5939992; 5939997-5939999</t>
  </si>
  <si>
    <t>ECUADOR-MOBILE OTHERS</t>
  </si>
  <si>
    <t>5939</t>
  </si>
  <si>
    <t>ECUADOR-MOBILE PORTA</t>
  </si>
  <si>
    <t>593939; 593959; 593967-593968; 5939691-5939699; 5939794-5939799; 593980-593981; 5939825-5939829; 5939836; 593985-593986; 593988-593991; 5939920-5939924; 593993-593994; 593997; 5939991; 5939993-5939996</t>
  </si>
  <si>
    <t>EGYPT</t>
  </si>
  <si>
    <t>20</t>
  </si>
  <si>
    <t>EGYPT-MOBILE ETISALAT MISR</t>
  </si>
  <si>
    <t>2011</t>
  </si>
  <si>
    <t>EGYPT-MOBILE OTHERS</t>
  </si>
  <si>
    <t>2012</t>
  </si>
  <si>
    <t>EGYPT-MOBILE TEM</t>
  </si>
  <si>
    <t>2015</t>
  </si>
  <si>
    <t>EGYPT-MOBILE VODAFONE</t>
  </si>
  <si>
    <t>2010</t>
  </si>
  <si>
    <t>EL SALVADOR</t>
  </si>
  <si>
    <t>503</t>
  </si>
  <si>
    <t>EL SALVADOR-FIXED CLARO</t>
  </si>
  <si>
    <t>5032100-5032103; 50321040-50321044; 5032130-5032131; 50322663-50322667; 5032300; 50323013-50323019; 50323050-50323057; 50323064-50323066; 50323105-50323109; 50323131-50323139; 50323197-50323199; 5032323; 50323520-50323528; 50323530; 5032355; 50323571-50323579; 50323629; 5032411; 50324125-50324129; 50324135-50324139; 5032415-5032416; 50324175-50324179; 50324419; 50324421-50324429; 5032454-5032455; 5032502; 5032512; 50325911; 50325927; 50326080-50326084; 50326105-50326109; 50326131-50326139; 50326141; 50326145-50326149; 5032615; 50326225-50326229; 5032634; 50326415-50326419; 5032646; 5032656</t>
  </si>
  <si>
    <t>EL SALVADOR-FIXED CTE</t>
  </si>
  <si>
    <t>5032132-5032133; 50322010-50322014; 5032203-5032206; 5032209; 5032212-5032214; 5032216; 50322185-50322189; 503222; 5032231-5032232; 5032234-5032235; 50322370-50322375; 5032239-5032243; 5032245; 50322460-50322464; 5032248; 50322490-50322494; 5032250-5032251; 5032253; 50322540-50322544; 5032258; 5032260-5032261; 50322620-50322626; 5032263-5032264; 5032267; 50322683-50322686; 5032270-5032274; 5032276-5032279; 50322800-50322808; 5032281-5032282; 5032284; 5032286; 5032288-5032289; 503229; 50323010-50323012; 50323058-50323059; 50323067-50323068; 50323080-50323081; 5032309; 50323100-50323104; 50323130; 50323140-50323144; 5032318; 50323190-50323196; 50323214-50323215; 50323220-50323222; 50323240; 5032325; 5032327; 50323300-50323307; 50323309; 50323312-50323314; 50323319-50323323; 50323330-50323337; 50323339; 5032334; 50323351-50323353; 50323357; 50323359; 50323380-50323386; 50323388-50323389; 50323397-50323399; 50323407-50323409; 50323413-50323414; 50323420; 50323423; 50323453-50323459; 5032346-5032347; 50323488-50323489; 5032349; 50323509; 5032351; 50323529; 50323536; 5032354; 50323560; 50323569-50323570; 50323600; 50323610-50323611; 50323620-50323628; 50323650; 50323690-50323691; 5032372; 50323765; 50323780-50323781; 5032379; 50323820-50323824; 50323842-50323844; 50323863; 5032389; 5032393; 50323959; 50323963; 50323967; 50323988; 5032399; 5032401-5032402; 50324080-50324085; 50324130-50324134; 50324174; 50324180-50324181; 5032420-5032421; 50324220-50324221; 5032429; 50324330; 50324370; 5032440; 50324410-50324418; 50324420; 50324430-50324431; 50324440-50324441; 5032445; 50324469; 5032447-5032448; 50324490-50324492; 50324500-50324505; 5032451-5032452; 50324530-50324531; 50324535-50324536; 50324575; 50324609-50324612; 50324649; 50324679; 50324692-50324693; 50324700; 50324715; 50324723; 50324737-50324739; 5032483-5032484; 5032486-5032487; 50325030-50325033; 5032510-5032511; 5032519; 503252; 50325917-50325920; 50325928-50325929; 503259368-503259369; 503259377; 50325940-50325948; 50326040-50326046; 50326085; 50326102; 50326110-50326111; 50326130; 50326140; 50326160-50326161; 50326182; 50326186; 50326190-50326191; 50326194; 50326199; 50326220-50326224; 5032624; 50326264-50326267; 50326270; 50326274-50326276; 50326278; 50326280-50326284; 50326295; 50326308; 50326320-50326325; 50326337-50326339; 5032639; 50326411-50326414; 5032645; 50326470; 50326477; 50326480; 50326490; 50326494-50326495; 50326497; 50326499; 5032650; 50326510; 50326520; 50326540-50326543; 50326581; 50326586; 50326588; 50326590; 50326593; 50326595-50326596; 5032660-5032661; 50326620-50326624; 5032663; 50326642; 50326644; 5032665; 50326670-50326678; 5032668-5032669; 5032671; 5032680-5032681; 50326820-50326824; 5032683-5032684; 50326870-50326872; 50327901; 50327905-50327906; 5032792; 50328901; 50328906-50328907; 50328914-50328919; 50329901; 50329905; 50329909; 5032991; 50329920</t>
  </si>
  <si>
    <t>EL SALVADOR-FIXED DIGICEL</t>
  </si>
  <si>
    <t>50322170-50322174; 50322190-50322195; 50322477-50322479; 50322550-50322554; 50322556; 50322650-50322654; 50322850-50322855; 50323329; 50323390; 50323425-50323429; 5032343; 50324100-50324107; 5032423; 50324280-50324282; 5032439; 5032504; 5032559-5032560; 50325610-50325615; 50325617; 50325910; 50326430-50326434; 50326440-50326441</t>
  </si>
  <si>
    <t>EL SALVADOR-FIXED GCA</t>
  </si>
  <si>
    <t>5032118; 5032230; 50322560-50322563; 50323260-50323264; 5032426; 5032480; 5032670</t>
  </si>
  <si>
    <t>EL SALVADOR-FIXED ONNET</t>
  </si>
  <si>
    <t>5032050; 5032113; 50322050000; 50322070-50322071; 50322151-50322159; 50322175-50322179; 50322495-50322499; 50322555; 50322596; 50322655-50322659; 50322681-50322682; 50322690; 50322692; 50322696-50322699; 50322830-50322837; 5032307; 50323110-50323112; 50323119; 50323155-50323159; 50323317; 50323370; 50323379; 50323580; 50323608-50323609; 50323640; 50323700; 50323770; 50323785; 50323850; 50323855; 50323940-50323941; 50323950; 50324070; 50324090-50324092; 50324120-50324123; 50324250-50324252; 50324620; 50324629; 50324650-50324651; 50324660; 50324709; 50324810-50324811; 5032482; 50326050; 50326250-50326254; 50326760-50326763; 50326877-50326879; 50326882; 50326885</t>
  </si>
  <si>
    <t>EL SALVADOR-FIXED TELEFONICA</t>
  </si>
  <si>
    <t>5032200; 5032202; 5032210-5032211; 50322180-50322184; 50322197-50322198; 5032233; 5032236; 50322376-50322379; 5032238; 5032244; 50322470-50322476; 50322545-50322549; 50322564-50322569; 5032257; 50322590-50322595; 50322597-50322599; 50322627-50322628; 50322687-50322688; 5032275; 5032287; 5032302; 50323120-50323124; 50323148-50323149; 50323160-50323164; 50323170-50323174; 5032328-5032329; 50323360-50323362; 50323410-50323412; 50323440-50323444; 5032359; 50323659; 5032366-5032367; 5032373-5032374; 50323750-50323753; 50323800-50323801; 50323830-50323831; 50323900-50323902; 5032405; 5032414; 5032427; 5032430-5032432; 5032434-5032435; 50324385; 50324560-50324564; 50324710; 50324730; 5032479; 5032489; 5032513-5032514; 5032516-5032517; 50325185; 5032530-5032537; 50325386; 5032541-5032543; 50325912-50325916; 50325933-50325935; 50325938-50325939; 5032600-5032601; 5032612; 5032620; 5032631; 5032635; 5032637; 50326400-50326402; 5032642; 5032677-5032679; 50327900; 50327903-50327904; 50328900; 50328902; 50328904-50328905; 50329900; 50329903-50329904</t>
  </si>
  <si>
    <t>EL SALVADOR-FIXED TELEMOVIL</t>
  </si>
  <si>
    <t>5032121; 50321224-50321225; 5032124; 50322015-50322019; 50322072-50322079; 5032208; 50322196; 50322465-50322469; 5032252; 50322660-50322662; 50322668-50322669; 50322689; 50322693-50322695; 50322809; 50322838-50322839; 50323033-50323035; 5032304; 50323060-50323063; 50323125-50323129; 50323146; 50323152-50323154; 50323165-50323169; 50323175-50323179; 50323374; 50323400-50323406; 50323680; 50323920; 5032397; 50323980-50323984; 50324005; 5032403-5032404; 5032406-5032407; 50324680; 50324750-50324754; 5032476; 50324773-50324774; 5032497; 50324983-50324984; 5032500-5032501; 5032505; 50325060-50325064; 50325069; 5032507-5032509; 5032555-5032556; 50325570-50325575; 5032562-5032567; 5032590; 50325921-50325925; 50325930-50325932; 50325936-50325937; 5032603; 50326051-50326059; 5032606; 50326070-50326071; 5032609; 5032623; 50326380; 50326750-50326754; 50326940-50326947; 50326966; 5032697; 50326999999; 50327902; 50327912; 50328903; 50328913; 50329902; 50329906; 50329908; 5036432-5036439; 503644-503645; 5036460-5036461</t>
  </si>
  <si>
    <t>EL SALVADOR-MOBILE DIGICEL</t>
  </si>
  <si>
    <t>503620; 50370715; 5037072; 50370730-50370734; 50373-50374; 5037695-5037698; 503776-503777; 5037801; 50378020-50378024; 503797</t>
  </si>
  <si>
    <t>EL SALVADOR-MOBILE PERSONAL</t>
  </si>
  <si>
    <t>503606-503607; 503630; 5036310-5036316; 50363170-50363174; 503682-503683; 503687-503691; 5036955-5036959; 503696-503706; 50370700; 50370703-50370705; 503707078-503707079; 503707083; 50370710; 50370712; 50370717; 50370735-50370746; 503708-503709; 503760-503766; 5037687-5037690; 503774-503775; 50378025-50378029; 5037803; 5037805-5037809; 5037840-5037844; 503785-503786; 503795-503796; 5037985-5037989</t>
  </si>
  <si>
    <t>EL SALVADOR-MOBILE TELEFONICA</t>
  </si>
  <si>
    <t>50361; 503642; 5036430-5036431; 5036611; 503692; 50370702; 50370708; 5037071; 50371; 503745; 50376865-50376869; 5037691-5037694; 5037699; 503770-503771; 5037780-5037784; 5037790-5037794; 5037800; 503781-503783; 5037845-5037849; 503799</t>
  </si>
  <si>
    <t>EL SALVADOR-MOBILE TELEMOVIL</t>
  </si>
  <si>
    <t>5032392; 5032468; 5032638; 503600-503605; 503608; 503684-503686; 503693; 50370701; 50370706; 503707070; 50370709; 50370713-50370714; 50370719; 50372; 503747-503749; 50375; 503767; 5037680-5037685; 50376860-50376864; 503772-503773; 5037785-5037789; 5037795-5037799; 503787-503794</t>
  </si>
  <si>
    <t>EQUATORIAL GUINEA</t>
  </si>
  <si>
    <t>240</t>
  </si>
  <si>
    <t>EQUATORIAL GUINEA-MOB GREENCOM</t>
  </si>
  <si>
    <t>24035; 24055</t>
  </si>
  <si>
    <t>EQUATORIAL GUINEA-MOBILE OTHER</t>
  </si>
  <si>
    <t>2402; 2405-2406</t>
  </si>
  <si>
    <t>ERITREA</t>
  </si>
  <si>
    <t>291</t>
  </si>
  <si>
    <t>ERITREA-MOBILE</t>
  </si>
  <si>
    <t>2917</t>
  </si>
  <si>
    <t>ESTONIA</t>
  </si>
  <si>
    <t>372</t>
  </si>
  <si>
    <t>ESTONIA-EFAX SVC</t>
  </si>
  <si>
    <t>37240; 3729008</t>
  </si>
  <si>
    <t>ESTONIA-MOBILE ELISA</t>
  </si>
  <si>
    <t>37253318-37253319; 372545051; 372545090; 3725456-3725459; 3725461-3725462; 37254637; 37254664; 37254667; 37256; 3725881; 3725883; 3725888; 3725891-3725895; 3725897-3725899; 3728123; 37282; 372870009; 372871000</t>
  </si>
  <si>
    <t>ESTONIA-MOBILE EMT</t>
  </si>
  <si>
    <t>37250-37252; 372530; 37253225-37253226; 37253229; 3725323-3725324; 37253264; 37253267-37253269; 37253284-37253285; 37253292; 3725330-3725332; 37253330-37253335; 37253337-37253341; 37253345; 37253358-37253359; 37253363-37253366; 37253375; 372534-372535; 3725360-3725367; 37253680-37253682; 372537-372539; 37254004-37254005; 37254110; 37254145; 37254173-37254176; 37254501-37254502; 37256018-37256019; 37256116-37256119; 3725740-3725744; 37257450; 37257493-37257494; 37257501-37257503; 37257570; 37257702-37257705; 3725780-3725787; 37257880; 372585-372587; 3725884; 3725886; 372590; 3725910-3725911; 37259123-37259129; 37259145-37259149; 3725915-3725919; 37282011-37282016; 37282020</t>
  </si>
  <si>
    <t>ESTONIA-MOBILE TELE2</t>
  </si>
  <si>
    <t>37255; 372580-372584; 372588; 3725890; 37259120-37259121; 37259135; 37259140-37259141; 372591444-372591449; 37281102-37281106; 37281300300; 37281400400; 37281600600; 3728175-3728176; 37281828384; 3728203-3728207; 3728216-3728218; 37282199; 3728273; 37282842-37282849; 3728285-3728286; 37282870-37282871; 37282921-37282930; 37283; 372840-372844; 3728450; 37284513-37284519; 3728452-3728459; 372846-372849; 3728700006; 3728700010-3728700012; 372870007</t>
  </si>
  <si>
    <t>ESTONIA-MOBILE TELEVITO</t>
  </si>
  <si>
    <t>3725411193-3725411194; 37257466; 37257469; 37259441982-37259441989; 3725944199; 3725999568-3725999569; 372599957; 3725999580-3725999588; 37281800; 37282200</t>
  </si>
  <si>
    <t>ESTONIA-MOBILE TOP CONNECT</t>
  </si>
  <si>
    <t>3725; 3728; 3728202; 37282051; 3728210-3728211; 3728213-3728214; 37282159; 37282190; 372822; 3728235-3728239; 372824-372826; 3728277-3728279; 3728284</t>
  </si>
  <si>
    <t>ESTONIA-PERSONAL COMM SVC</t>
  </si>
  <si>
    <t>37270</t>
  </si>
  <si>
    <t>ETHIOPIA</t>
  </si>
  <si>
    <t>251</t>
  </si>
  <si>
    <t>ETHIOPIA-ADDIS ABABA</t>
  </si>
  <si>
    <t>25111-25112; 25161</t>
  </si>
  <si>
    <t>ETHIOPIA-MOBILE OTHERS</t>
  </si>
  <si>
    <t>25190-25199</t>
  </si>
  <si>
    <t>ETHIOPIA-MOBILE SAFARICOM</t>
  </si>
  <si>
    <t>2517</t>
  </si>
  <si>
    <t>FALKLAND ISLANDS</t>
  </si>
  <si>
    <t>500</t>
  </si>
  <si>
    <t>FAROE ISLANDS</t>
  </si>
  <si>
    <t>298</t>
  </si>
  <si>
    <t>FAROE ISLANDS-MOBILE</t>
  </si>
  <si>
    <t>29821-29829; 2985; 29871-29879</t>
  </si>
  <si>
    <t>FIJI</t>
  </si>
  <si>
    <t>679</t>
  </si>
  <si>
    <t>FIJI-MOBILE DIGICEL</t>
  </si>
  <si>
    <t>67950-67951; 6797</t>
  </si>
  <si>
    <t>FIJI-MOBILE VODAFONE</t>
  </si>
  <si>
    <t>6792; 67945; 67958; 67980; 67983-67984; 67986-67987; 67989; 6799</t>
  </si>
  <si>
    <t>FINLAND</t>
  </si>
  <si>
    <t>358</t>
  </si>
  <si>
    <t>FINLAND-CORP SVC</t>
  </si>
  <si>
    <t>35810; 35820; 35829-35830; 35860; 3587; 358800</t>
  </si>
  <si>
    <t>FINLAND-HELSINKI</t>
  </si>
  <si>
    <t>3589</t>
  </si>
  <si>
    <t>FINLAND-MOBILE DNA</t>
  </si>
  <si>
    <t>35841; 3584320-3584321; 358436; 358438; 35844; 3584541; 3584547; 3584574; 3584576-3584579; 3584944</t>
  </si>
  <si>
    <t>FINLAND-MOBILE ELISA</t>
  </si>
  <si>
    <t>358294-358295; 358299; 358435; 358451-358453; 3584549; 358456; 358458; 35846; 3584946; 35850</t>
  </si>
  <si>
    <t>FINLAND-MOBILE OTHER</t>
  </si>
  <si>
    <t>3584</t>
  </si>
  <si>
    <t>FINLAND-MOBILE SONERA</t>
  </si>
  <si>
    <t>35840; 35842</t>
  </si>
  <si>
    <t>FINLAND-PREMIUM SVC</t>
  </si>
  <si>
    <t>35871</t>
  </si>
  <si>
    <t>FRANCE</t>
  </si>
  <si>
    <t>33</t>
  </si>
  <si>
    <t>FRANCE-FREEPHONE</t>
  </si>
  <si>
    <t>3380</t>
  </si>
  <si>
    <t>FRANCE-MOBILE BOUYGUES</t>
  </si>
  <si>
    <t>336003; 3360042; 336009; 3363600; 3363604; 3363623; 3363625-3363627; 3363629; 3363638-3363639; 3363642-3363643; 33640009; 3364950; 33650; 336530-336534; 33658-33659; 3366; 33698-33699; 33743122-33743123; 3374327-3374335; 33743389; 337434; 3374466-3374469; 33745800-33745803; 337460-337462; 33748800-33748802; 33748804-33748805; 33748807; 33748809; 3374881-3374883; 33748936-33748939; 3375078-3375079; 337518-337519; 337521-337525; 337527-337528; 337541-337542; 337544-337545; 337551-337554; 33756230-33756238; 33756250-33756251; 33756268-33756269; 33756444-33756449; 3375648; 3375764-3375765; 3375770-3375774; 337592-337594; 33760-33765; 33775658-33775659; 3377588-3377594; 3377596-3377599</t>
  </si>
  <si>
    <t>FRANCE-MOBILE BOUYGUES-M2M</t>
  </si>
  <si>
    <t>33700003; 337000042; 33700010</t>
  </si>
  <si>
    <t>FRANCE-MOBILE FREE</t>
  </si>
  <si>
    <t>336000; 336006; 33651-33652; 336535-336539; 33695; 337435-337437; 3374382-3374391; 337447-337452; 33749; 337590-337591; 337595-337596; 3375970-3375975; 3375993-3375996; 33766-33769; 337757; 33781-33783</t>
  </si>
  <si>
    <t>FRANCE-MOBILE GLOBALSTAR</t>
  </si>
  <si>
    <t>3364000-3364001; 3364004; 3375076-3375077</t>
  </si>
  <si>
    <t>FRANCE-MOBILE LYCAMOBILE</t>
  </si>
  <si>
    <t>336055-336059; 337441-337442; 337459; 337463-337465; 337510-337515; 33753; 33758; 337598</t>
  </si>
  <si>
    <t>FRANCE-MOBILE M2M</t>
  </si>
  <si>
    <t>33700</t>
  </si>
  <si>
    <t>FRANCE-MOBILE ORANGE</t>
  </si>
  <si>
    <t>336001; 3360041; 3360051; 336008; 336020-336021; 33607-33608; 33630-33633; 336365-336369; 33637; 336381-336389; 336401-336409; 3364160-3364161; 336417; 33642-33643; 336441-336443; 33645; 33647-33648; 336490-336494; 3364951-3364959; 336496-336498; 3364992-3364993; 33654; 3367-3368; 3374301; 3374303-3374305; 3374315-3374316; 33743220; 33743224-33743229; 3374336-3374337; 3374400-3374402; 33744050-33744057; 3374408; 337458; 337482-337485; 3375054-3375056; 3375059; 3375061-3375069; 3375072; 3375074-3375075; 3375434-3375439; 3375558-3375559; 3375565; 33756252-33756259; 3375636-3375639; 3375641-3375643; 3375646-3375647; 3375700-3375702; 3375706-3375707; 3375717-3375719; 3375760; 3375768; 3375776; 3375785; 3375797; 337700-337702; 337705-337709; 33772-33774; 3377566-3377569; 337840-337845; 33785-33789</t>
  </si>
  <si>
    <t>FRANCE-MOBILE ORANGE-M2M</t>
  </si>
  <si>
    <t>33700000; 33700007</t>
  </si>
  <si>
    <t>FRANCE-MOBILE OTHERS</t>
  </si>
  <si>
    <t>336-337</t>
  </si>
  <si>
    <t>FRANCE-MOBILE SFR</t>
  </si>
  <si>
    <t>336002; 3360052; 336007; 33601; 336022-336023; 3360250; 336026-336029; 33603; 336040-336041; 336044-336054; 336064; 33609; 3361-3362; 33634-33635; 3363603; 3363624; 3363628; 3363630; 3363632-3363636; 3363801-3363805; 3363807-3363809; 3364005-3364009; 336410-336415; 3364163; 3364166; 336418-336419; 336440; 336447-336449; 33646; 3364990-3364991; 3364995; 3364998-3364999; 33655; 3365666-3365669; 336567-336568; 3374307; 3374310; 3374325-3374326; 33743380-33743382; 3374406; 337444-337445; 3374460-3374465; 337466-337467; 337481; 337486; 3375007; 337501-337504; 3375060; 3375071; 337508-337509; 337516-337517; 3375202-3375209; 337526; 3375433; 337547-337548; 3375556-3375557; 3375560-3375564; 33756440-33756443; 3375645; 3375708-3375712; 337574; 3375750-3375756; 3375761; 3375778; 3375976-3375979; 3375990; 337703-337704; 337713-337714; 3377150-3377154; 3377426-3377429; 3377452-3377453; 3377482; 3377498; 337750-337754; 3377580-3377587; 337759; 33776-33779; 337800-337806; 337846-337848</t>
  </si>
  <si>
    <t>FRANCE-MOBILE SFR-M2M</t>
  </si>
  <si>
    <t>33700001; 33700004; 337000081</t>
  </si>
  <si>
    <t>FRANCE-VAS</t>
  </si>
  <si>
    <t>338</t>
  </si>
  <si>
    <t>FRENCH GUIANA</t>
  </si>
  <si>
    <t>594</t>
  </si>
  <si>
    <t>FRENCH GUIANA-MOBILE DIGICEL</t>
  </si>
  <si>
    <t>59469408-59469409; 59469412-59469416; 5946949; 594700601; 5947093</t>
  </si>
  <si>
    <t>FRENCH GUIANA-MOBILE ONLY</t>
  </si>
  <si>
    <t>59469400-59469407; 59469417-59469419; 59469446-59469447; 594700600; 59470931</t>
  </si>
  <si>
    <t>FRENCH GUIANA-MOBILE ORANGE</t>
  </si>
  <si>
    <t>5946942; 59469430-59469434; 59469438; 59469440-59469445; 59469448-59469449; 594700602; 59470933</t>
  </si>
  <si>
    <t>FRENCH GUIANA-MOBILE OTHERS</t>
  </si>
  <si>
    <t>594694; 59470930</t>
  </si>
  <si>
    <t>FRENCH POLYNESIA</t>
  </si>
  <si>
    <t>689</t>
  </si>
  <si>
    <t>FRENCH POLYNESIA-MOBILE PMT</t>
  </si>
  <si>
    <t>68989</t>
  </si>
  <si>
    <t>FRENCH POLYNESIA-MOBILE VINI</t>
  </si>
  <si>
    <t>68987</t>
  </si>
  <si>
    <t>FRENCH POLYNESIA-MOBILE VITI</t>
  </si>
  <si>
    <t>68988</t>
  </si>
  <si>
    <t>GABON</t>
  </si>
  <si>
    <t>241</t>
  </si>
  <si>
    <t>GABON-MOBILE AIRTEL</t>
  </si>
  <si>
    <t>24104; 24107; 2414; 2417</t>
  </si>
  <si>
    <t>GABON-MOBILE LIBERTIS</t>
  </si>
  <si>
    <t>24102; 24105-24106; 2412; 2415-2416</t>
  </si>
  <si>
    <t>GABON-MOBILE OTHERS</t>
  </si>
  <si>
    <t>24103; 2413</t>
  </si>
  <si>
    <t>GAMBIA</t>
  </si>
  <si>
    <t>220</t>
  </si>
  <si>
    <t>GAMBIA-MOBILE AFRICELL</t>
  </si>
  <si>
    <t>2202; 22040-22041; 22045; 2207</t>
  </si>
  <si>
    <t>GAMBIA-MOBILE COMIUM</t>
  </si>
  <si>
    <t>2206; 22086-22087</t>
  </si>
  <si>
    <t>GAMBIA-MOBILE GAMCEL</t>
  </si>
  <si>
    <t>2209</t>
  </si>
  <si>
    <t>GAMBIA-MOBILE QCELL</t>
  </si>
  <si>
    <t>2203; 22050-22055; 22057-22059</t>
  </si>
  <si>
    <t>GEORGIA</t>
  </si>
  <si>
    <t>995</t>
  </si>
  <si>
    <t>GEORGIA-ABKHAZIA</t>
  </si>
  <si>
    <t>99512; 99544</t>
  </si>
  <si>
    <t xml:space="preserve">GEORGIA-FIXED TBILISI </t>
  </si>
  <si>
    <t>99532</t>
  </si>
  <si>
    <t>GEORGIA-MOBILE CELLFIE</t>
  </si>
  <si>
    <t>99550001; 995500055-995500059; 99550008; 995500090-995500094; 995500100-995500104; 995500700-995500704; 995500900-995500904; 99550100; 995501110-995501114; 99550122; 99550133; 99550144; 995501500-995501504; 99550155; 99550177; 99550188; 99550199; 99550422; 995504440-995504444; 99550488; 995544040-995544044; 995544110-995544114; 995544220-995544224; 995544330-995544334; 99554455; 99554477; 99554499; 995568; 995569695-995569699; 995571; 995574; 995579; 995592; 995597; 995708270-995708274</t>
  </si>
  <si>
    <t>GEORGIA-MOBILE GEOCELL</t>
  </si>
  <si>
    <t>995500050-995500054; 99550011; 99550022; 99550033; 99550044; 99550055; 99550077; 99550088; 99550099; 995502200-995502204; 995502220-995502224; 995505050-995505054; 995510000-995510004; 995510100-995510104; 995511510-995511514; 995514; 995520000-995520004; 995520200-995520204; 995522520-995522524; 995530000-995530004; 995530300-995530304; 995533530-995533534; 995540000-995540004; 995540400-995540404; 995540540-995540544; 995544540-995544544; 995553330-995553334; 995554440-995554444; 995555; 995557-995558; 995559555-995559559; 995575555-995575559; 99557575; 995577; 99558000-99558001; 995580020-995580024; 995580805-995580809; 99558855; 99558888; 995590000-995590004; 99559090; 995593</t>
  </si>
  <si>
    <t>GEORGIA-MOBILE MAGTICOM</t>
  </si>
  <si>
    <t>9951150; 9954414; 99550020; 99550040; 99550050; 995505555-995505559; 995511; 995522220-995522224; 995533330-995533334; 99554440; 99554444; 995551; 995575000-995575004; 995575777-995575781; 99558588; 995585890-995585892; 995591; 995595-995596; 995598-995599; 995708</t>
  </si>
  <si>
    <t>GEORGIA-MOBILE OTHERS</t>
  </si>
  <si>
    <t>9955; 995559</t>
  </si>
  <si>
    <t>GEORGIA-MOBILE SILKNET</t>
  </si>
  <si>
    <t>99550012; 99554454; 99555; 995570; 995711</t>
  </si>
  <si>
    <t>GEORGIA-PERSONAL NR</t>
  </si>
  <si>
    <t>99576</t>
  </si>
  <si>
    <t>GERMANY</t>
  </si>
  <si>
    <t>49</t>
  </si>
  <si>
    <t>GERMANY-MOBILE ARGON NWK</t>
  </si>
  <si>
    <t>4915678</t>
  </si>
  <si>
    <t>GERMANY-MOBILE LYCAMOBILE</t>
  </si>
  <si>
    <t>491521</t>
  </si>
  <si>
    <t>GERMANY-MOBILE MOBILFUNK</t>
  </si>
  <si>
    <t>491555-491556</t>
  </si>
  <si>
    <t>GERMANY-MOBILE O2</t>
  </si>
  <si>
    <t>491570; 491573; 491575; 491577-491578; 491590; 49163; 49176-49179</t>
  </si>
  <si>
    <t>GERMANY-MOBILE OTHERS</t>
  </si>
  <si>
    <t>4915-4916</t>
  </si>
  <si>
    <t>GERMANY-MOBILE T MOBILE</t>
  </si>
  <si>
    <t>491511-491512; 491514-491517; 4915180-4915181; 49160; 49170-49171; 49175</t>
  </si>
  <si>
    <t>GERMANY-MOBILE VODAFONE</t>
  </si>
  <si>
    <t>491520; 491522-491523; 491525-491526; 49162; 49172-49174</t>
  </si>
  <si>
    <t>GERMANY-OTHERS</t>
  </si>
  <si>
    <t>49115</t>
  </si>
  <si>
    <t>GERMANY-PERSONAL NR</t>
  </si>
  <si>
    <t>49700</t>
  </si>
  <si>
    <t>GERMANY-SHARED COST</t>
  </si>
  <si>
    <t>49180</t>
  </si>
  <si>
    <t>GHANA</t>
  </si>
  <si>
    <t>233</t>
  </si>
  <si>
    <t>GHANA-MOBILE AIRTEL TIGO</t>
  </si>
  <si>
    <t>23323; 23326-23327; 233307; 23356-23357</t>
  </si>
  <si>
    <t>GHANA-MOBILE EXPRESSO</t>
  </si>
  <si>
    <t>23328</t>
  </si>
  <si>
    <t>GHANA-MOBILE MTN</t>
  </si>
  <si>
    <t>23324; 233256-233257; 23353-23355; 23359</t>
  </si>
  <si>
    <t>GHANA-MOBILE ONETOUCH</t>
  </si>
  <si>
    <t>23320; 23350</t>
  </si>
  <si>
    <t>GHANA-MOBILE OTHERS</t>
  </si>
  <si>
    <t>2332; 2335</t>
  </si>
  <si>
    <t>GIBRALTAR</t>
  </si>
  <si>
    <t>350</t>
  </si>
  <si>
    <t>GIBRALTAR-MOBILE</t>
  </si>
  <si>
    <t>35051; 35054; 35056-35058; 3506</t>
  </si>
  <si>
    <t>GLOBAL NETWORKS MARITIME COMMS</t>
  </si>
  <si>
    <t>88232</t>
  </si>
  <si>
    <t>GLOBAL NWK</t>
  </si>
  <si>
    <t>883</t>
  </si>
  <si>
    <t>GLOBAL NWK A1 TELEKOM AUSTRIA</t>
  </si>
  <si>
    <t>883370</t>
  </si>
  <si>
    <t>GLOBAL NWK ATHALOS</t>
  </si>
  <si>
    <t>88251</t>
  </si>
  <si>
    <t>GLOBAL NWK ATHALOS MEDIALINCC</t>
  </si>
  <si>
    <t>883100</t>
  </si>
  <si>
    <t>GLOBAL NWK DTAG</t>
  </si>
  <si>
    <t>88228</t>
  </si>
  <si>
    <t>GLOBAL NWK GLOBALSTAR</t>
  </si>
  <si>
    <t>8818-8819</t>
  </si>
  <si>
    <t>GLOBAL NWK IN PHONE</t>
  </si>
  <si>
    <t>88244</t>
  </si>
  <si>
    <t>GLOBAL NWK INTL ATT</t>
  </si>
  <si>
    <t>88237</t>
  </si>
  <si>
    <t>GLOBAL NWK ONAIR AIRCRAFTS</t>
  </si>
  <si>
    <t>88298</t>
  </si>
  <si>
    <t>GLOBAL NWK ORANGE</t>
  </si>
  <si>
    <t>883130</t>
  </si>
  <si>
    <t>GLOBAL NWK ORATION PHONEGROUP</t>
  </si>
  <si>
    <t>88233</t>
  </si>
  <si>
    <t>GLOBAL NWK PHONEGROUP OBN</t>
  </si>
  <si>
    <t>88250</t>
  </si>
  <si>
    <t>GLOBAL NWK SHARED</t>
  </si>
  <si>
    <t>882</t>
  </si>
  <si>
    <t>GLOBAL NWK SHARED VF MALTA</t>
  </si>
  <si>
    <t>88239</t>
  </si>
  <si>
    <t>GLOBAL NWK TELECOM26 AG</t>
  </si>
  <si>
    <t>883210</t>
  </si>
  <si>
    <t>GLOBAL NWK TELENOR AEROMOBILE</t>
  </si>
  <si>
    <t>88299</t>
  </si>
  <si>
    <t>GLOBAL NWK TELESPAZIO EMSAT</t>
  </si>
  <si>
    <t>88213</t>
  </si>
  <si>
    <t>GLOBAL NWK TIAN TONG SATELLITE</t>
  </si>
  <si>
    <t>88252</t>
  </si>
  <si>
    <t>GREECE</t>
  </si>
  <si>
    <t>30</t>
  </si>
  <si>
    <t>GREECE-MOBILE COSMOTE</t>
  </si>
  <si>
    <t>30697-30698; 3097</t>
  </si>
  <si>
    <t>GREECE-MOBILE OTHERS</t>
  </si>
  <si>
    <t>30685; 3069530</t>
  </si>
  <si>
    <t>GREECE-MOBILE VODAFONE</t>
  </si>
  <si>
    <t>3069111; 30694-30695; 3069903</t>
  </si>
  <si>
    <t>GREECE-MOBILE WIND</t>
  </si>
  <si>
    <t>30690; 30691345; 30693; 30699</t>
  </si>
  <si>
    <t>GREENLAND</t>
  </si>
  <si>
    <t>299</t>
  </si>
  <si>
    <t>GREENLAND-MOBILE</t>
  </si>
  <si>
    <t>2992; 2994-2995</t>
  </si>
  <si>
    <t>GRENADA</t>
  </si>
  <si>
    <t>1473</t>
  </si>
  <si>
    <t>GRENADA-MOBILE</t>
  </si>
  <si>
    <t>1473403-1473407; 1473409-1473410; 1473449; 1473456-1473459</t>
  </si>
  <si>
    <t>GRENADA-MOBILE AISLECOM</t>
  </si>
  <si>
    <t>1473402; 1473520-1473521</t>
  </si>
  <si>
    <t>GRENADA-MOBILE DIGICEL</t>
  </si>
  <si>
    <t>1473414-1473425; 1473533-1473538</t>
  </si>
  <si>
    <t>GUADELOUPE</t>
  </si>
  <si>
    <t>590</t>
  </si>
  <si>
    <t>GUADELOUPE-MOBILE DIGICEL</t>
  </si>
  <si>
    <t>59069006-59069009; 59069011-59069021; 59069023-59069025; 59069036; 59069042-59069046; 59069069; 59069080-59069086; 59069129-59069130; 590700501; 5907090</t>
  </si>
  <si>
    <t>GUADELOUPE-MOBILE ONLY</t>
  </si>
  <si>
    <t>59069000; 59069005; 59069078-59069079; 59069089; 5906909; 590700500; 59070901</t>
  </si>
  <si>
    <t>GUADELOUPE-MOBILE ORANGE</t>
  </si>
  <si>
    <t>59069026-59069035; 59069037-59069041; 59069047-59069049; 5906905; 59069060-59069065; 59069067-59069068; 59069070-59069076; 59069131-59069135; 590700502; 59070903</t>
  </si>
  <si>
    <t>GUADELOUPE-MOBILE OTHERS</t>
  </si>
  <si>
    <t>590690-590691; 59070900; 59070904</t>
  </si>
  <si>
    <t>GUAM</t>
  </si>
  <si>
    <t>1671</t>
  </si>
  <si>
    <t>GUATEMALA</t>
  </si>
  <si>
    <t>502</t>
  </si>
  <si>
    <t>GUATEMALA-ATEL</t>
  </si>
  <si>
    <t>5022458; 5026658; 5027758; 5027858; 5027958</t>
  </si>
  <si>
    <t>GUATEMALA-FIXED CNET</t>
  </si>
  <si>
    <t>5022285; 502238; 5022390-5022392; 5022485; 5026685-5026686; 5027785</t>
  </si>
  <si>
    <t>GUATEMALA-MOBILE COMCEL</t>
  </si>
  <si>
    <t>502229-502231; 5022326-5022329; 5022427-5022429; 50230-50233; 502370-502374; 5023750-5023754; 502382-502393; 50240; 5024476-5024479; 502448-502449; 50245-50246; 5024773-5024779; 502478-502479; 50248-50249; 502500; 502503-502506; 502515-502520; 502530; 5025314-5025319; 502532-502538; 502552; 5025550-5025553; 5025580-5025581; 502570; 5025719; 502572-502578; 502580; 5025819; 502588-502590; 5025918-5025919; 502599; 5026610; 5026624-5026628; 5026638; 5027724-5027729; 5027824-5027829; 5027910-5027914; 5027929; 502800-502804</t>
  </si>
  <si>
    <t>GUATEMALA-MOBILE TELEFONICA</t>
  </si>
  <si>
    <t>5022229; 5022267-5022269; 5022277-5022279; 5022374-5022379; 5022450; 5022459; 5022470; 50234; 502350-502355; 5023560-5023564; 50243-50244; 502502; 502507-502510; 502514; 50252; 5025312-5025313; 502539-502540; 502550; 5025518-5025519; 502554; 502560; 502564-502568; 502579; 5025915-5025917; 5026648-5026649; 5026659-5026660; 5026677; 5026679; 5027740-5027744; 5027759; 5027779; 5027859; 5027879; 5027959; 5027968-5027969; 5027979</t>
  </si>
  <si>
    <t>GUATEMALA-MOBILE TELGUA</t>
  </si>
  <si>
    <t>5023229; 50235-50236; 5023755-5023759; 502376-502381; 502394-502399; 50241-50242; 502470-502476; 5024770-5024772; 502501; 502511-502513; 5025310-5025311; 50254; 5025510-5025517; 502553; 5025543-5025544; 5025554-5025559; 502556-502557; 5025582-5025589; 502559; 502561-502563; 502569; 5025710-5025718; 5025810-5025818; 502582-502587; 5025910-5025914; 502592-502598; 50260999</t>
  </si>
  <si>
    <t>GUATEMALA-RURAL</t>
  </si>
  <si>
    <t>5022283; 5026683; 5027783; 5027861; 5027883; 5027983</t>
  </si>
  <si>
    <t>GUATEMALA-TELGUA</t>
  </si>
  <si>
    <t>5022200-5022228; 5022230; 5022232-5022235; 5022238; 5022242-5022247; 5022250-5022251; 5022253-5022261; 5022270; 5022286; 5022288-5022289; 5022320-5022324; 5022331-5022339; 502236; 502241; 5022420-5022426; 5022431-5022445; 5022448-5022449; 5022460-5022464; 5022471-5022480; 5022483-5022484; 502249-502250; 5026620-5026623; 5026629-5026637; 5026640-5026646; 5026650; 5026661-5026676; 5027720-5027723; 5027736-5027738; 5027755-5027756; 5027760-5027777; 5027780; 5027790-5027797; 5027820-5027823; 5027830-5027834; 5027838-5027846; 5027849; 5027867-5027868; 5027870-5027874; 5027880-5027882; 5027884-5027889; 5027920; 5027922-5027928; 5027930-5027938; 502794; 5027950-5027957; 5027960-5027965</t>
  </si>
  <si>
    <t>GUINEA BISSAU</t>
  </si>
  <si>
    <t>245</t>
  </si>
  <si>
    <t>GUINEA BISSAU-MOBILE GUINETEL</t>
  </si>
  <si>
    <t>2457; 245977</t>
  </si>
  <si>
    <t>GUINEA BISSAU-MOBILE MTN</t>
  </si>
  <si>
    <t>24596</t>
  </si>
  <si>
    <t>GUINEA BISSAU-MOBILE ORANGE</t>
  </si>
  <si>
    <t>24595</t>
  </si>
  <si>
    <t>GUINEA REPUBLIC</t>
  </si>
  <si>
    <t>224</t>
  </si>
  <si>
    <t>GUINEA REPUBLIC-MOB INTERCEL</t>
  </si>
  <si>
    <t>22463; 22466441</t>
  </si>
  <si>
    <t>GUINEA REPUBLIC-MOB SOTELGUI</t>
  </si>
  <si>
    <t>22460</t>
  </si>
  <si>
    <t>GUINEA REPUBLIC-MOBILE CELLCOM</t>
  </si>
  <si>
    <t>22465; 22467</t>
  </si>
  <si>
    <t>GUINEA REPUBLIC-MOBILE GAMMA</t>
  </si>
  <si>
    <t>22455; 224722; 22478</t>
  </si>
  <si>
    <t>GUINEA REPUBLIC-MOBILE MTN</t>
  </si>
  <si>
    <t>22466</t>
  </si>
  <si>
    <t>GUINEA REPUBLIC-MOBILE ORANGE</t>
  </si>
  <si>
    <t>224610-224613; 22462</t>
  </si>
  <si>
    <t>GUINEA REPUBLIC-MOBILE OTHERS</t>
  </si>
  <si>
    <t>22470</t>
  </si>
  <si>
    <t>GUYANA</t>
  </si>
  <si>
    <t>592</t>
  </si>
  <si>
    <t>GUYANA-MOBILE DIGICEL</t>
  </si>
  <si>
    <t>592600-592604; 592608; 59263; 592659; 59266-59269; 592743-592750</t>
  </si>
  <si>
    <t>GUYANA-MOBILE OTHERS</t>
  </si>
  <si>
    <t>592515; 5926; 592635; 59271-59273; 592740-592742</t>
  </si>
  <si>
    <t>HAITI</t>
  </si>
  <si>
    <t>509</t>
  </si>
  <si>
    <t>HAITI-MOBILE DIGICEL</t>
  </si>
  <si>
    <t>509281; 50929; 50931; 50934; 50936-50939; 50944; 50946-50949</t>
  </si>
  <si>
    <t>HAITI-MOBILE NATCOM</t>
  </si>
  <si>
    <t>50932-50933; 50935; 50940-50943; 50955-50956</t>
  </si>
  <si>
    <t>HAITI-MOBILE RECTEL</t>
  </si>
  <si>
    <t>5093</t>
  </si>
  <si>
    <t>HAITI-NATCOM</t>
  </si>
  <si>
    <t>50922</t>
  </si>
  <si>
    <t>HAWAII</t>
  </si>
  <si>
    <t>1808</t>
  </si>
  <si>
    <t>HONDURAS</t>
  </si>
  <si>
    <t>504</t>
  </si>
  <si>
    <t>HONDURAS-MOBILE CELTEL</t>
  </si>
  <si>
    <t>5049</t>
  </si>
  <si>
    <t>HONDURAS-MOBILE CLARO</t>
  </si>
  <si>
    <t>5043; 5048</t>
  </si>
  <si>
    <t>HONDURAS-MOBILE HONDUTEL</t>
  </si>
  <si>
    <t>5047</t>
  </si>
  <si>
    <t>HONDURAS-SAN PEDRO</t>
  </si>
  <si>
    <t>50425; 5045</t>
  </si>
  <si>
    <t>HONDURAS-TEGUCIGALPA</t>
  </si>
  <si>
    <t>50422</t>
  </si>
  <si>
    <t>HONG KONG</t>
  </si>
  <si>
    <t>852</t>
  </si>
  <si>
    <t>HONG KONG-MOBILE</t>
  </si>
  <si>
    <t>85217; 8524093-8524096; 8524243-8524246; 852440-852443; 8524440-8524443; 8524445-8524449; 852445-852449; 85246; 852470-852473; 8524740-8524744; 8524748; 852475; 8524760-8524765; 85248-85249; 85251-85257; 85259; 8526; 852701-852705; 8527071-8527078; 8527080-8527088; 852709; 85284; 852901-852909; 85291-85298</t>
  </si>
  <si>
    <t>HUNGARY</t>
  </si>
  <si>
    <t>36</t>
  </si>
  <si>
    <t>HUNGARY-MOBILE DIGI</t>
  </si>
  <si>
    <t>3650</t>
  </si>
  <si>
    <t>HUNGARY-MOBILE OTHERS</t>
  </si>
  <si>
    <t>3631</t>
  </si>
  <si>
    <t>HUNGARY-MOBILE PANNON</t>
  </si>
  <si>
    <t>3620</t>
  </si>
  <si>
    <t>HUNGARY-MOBILE TMOBILE</t>
  </si>
  <si>
    <t>3630</t>
  </si>
  <si>
    <t>HUNGARY-MOBILE VODAFONE</t>
  </si>
  <si>
    <t>363131-363133; 36313666; 36317000-36317004; 3631770-3631771; 363178; 3670</t>
  </si>
  <si>
    <t>HUNGARY-PREM SVC</t>
  </si>
  <si>
    <t>3621360</t>
  </si>
  <si>
    <t>ICELAND</t>
  </si>
  <si>
    <t>354</t>
  </si>
  <si>
    <t>ICELAND-MOBILE IMC</t>
  </si>
  <si>
    <t>354380; 354388-354389; 354630; 354646-354647; 354650-354651</t>
  </si>
  <si>
    <t>ICELAND-MOBILE OTHERS</t>
  </si>
  <si>
    <t>35476-35479</t>
  </si>
  <si>
    <t>ICELAND-MOBILE TELECOM</t>
  </si>
  <si>
    <t>354385; 354611-354614; 354631-354632; 354637; 354826-354829; 35483-35489</t>
  </si>
  <si>
    <t>ICELAND-MOBILE VODAFONE</t>
  </si>
  <si>
    <t>35461-35462; 35464; 354655; 354659; 35466-35469; 35475; 354820-354825</t>
  </si>
  <si>
    <t>INDIA</t>
  </si>
  <si>
    <t>91</t>
  </si>
  <si>
    <t>INDIA-MOBILE (BSNL)</t>
  </si>
  <si>
    <t>91602-91603; 9168260; 916828; 917376; 91738; 917579; 917587-917589; 917597-917599; 9176258-9176260; 9176278; 9176468-9176470; 9176478-9176480; 9176488-9176490; 9176498-9176500; 9176508-9176510; 9176530; 9176538-9176539; 9176550; 9176558-9176560; 9176568-9176570; 917839; 917901; 918004-918005; 9180780-9180785; 9180787-9180789; 918275; 918277; 9182780-9182785; 9182789-9182791; 918280-918281; 9182898-9182899; 918300; 9183010; 9183018-9183019; 9183040; 9183048-9183049; 9183300; 9183308-9183310; 9183318-9183320; 9183328-9183330; 9183338-9183339; 918480; 918500; 918544; 918547; 9185800-9185803; 918762-918765; 9188870-9188874; 918895; 91890; 91898-91899; 91918-91919; 9192550; 9192755; 9193834; 919385; 9194; 91953; 919682-919683</t>
  </si>
  <si>
    <t>INDIA-MOBILE AIRTEL</t>
  </si>
  <si>
    <t>9170; 917200; 917204-917209; 9172170; 9172172-9172175; 917219; 9172229-9172230; 9172238-9172240; 9172248-9172250; 9172258-9172260; 9172268-9172270; 9172278-9172280; 9172288-9172290; 917249-917250; 9172578-9172580; 9172588-9172589; 917259; 9172600; 9172608-9172610; 9172618; 9172660; 9172668-9172670; 9172678-9172680; 9172688-9172690; 917275-917276; 9172928-9172929; 9172940-9172941; 9172948-9172950; 9172958-9172960; 9172968-9172970; 9172978-9172979; 91730; 9173175-9173178; 917318-917319; 9173200; 9173208-9173210; 9173218-9173219; 9173258-9173260; 9173268-9173270; 9173278-9173280; 9173288; 917338-917340; 9173470; 9173472-9173476; 917349; 91735; 9173629-9173630; 9173638-9173640; 9173648-9173650; 9173658-9173660; 9173668-9173670; 9173678-9173680; 9173688-9173690; 917383-917389; 9173900; 9173908-9173909; 9173920; 9173928-9173930; 9173938-9173940; 9173948-9173950; 9173958-9173959; 917396-917398; 9174100-9174101; 9174105; 9174107; 917411; 9174149; 917415-917418; 9174200; 9174208-9174209; 9174248-9174250; 9174258-9174260; 9174268-9174270; 9174278; 917428; 9174510; 9174518-9174520; 9174528-9174530; 9174538-9174540; 9174548-9174550; 9174558-9174560; 9174568-9174570; 9174578-9174580; 9174588-9174590; 9174598-9174600; 9174608-9174610; 9174618-9174620; 9174628-9174630; 9174638-9174640; 9174800; 9174808-9174810; 9174818-9174820; 9174828-9174829; 9174840; 9174848-9174850; 9174858-9174860; 9174868-9174870; 9174878-9174879; 9174900; 9174908-9174909; 9174948-9174950; 9174958-9174960; 9174968-9174970; 9174978-9174979; 9175100; 9175210; 9175218-9175220; 9175228; 9175230; 9175238-9175240; 9175248-9175250; 9175258-9175260; 9175300; 9175388; 9175399-9175400; 9175410; 9175418-9175420; 9175428-9175430; 9175438-9175440; 9175488; 917558; 9175591-9175594; 917568; 9175839-9175840; 9175848-9175850; 9175858-9175860; 9175868-9175869; 9175950; 9175958-9175960; 9175968-9175969; 917600; 917602; 9176030; 9176040; 9176050; 9176058-9176060; 9176068-9176069; 917607; 9176080; 9176088-9176090; 9176098-9176099; 9176739-9176740; 9176748-9176750; 9176758-9176759; 9176780; 9176800; 9176808-9176810; 9176818; 9176820; 9176828-9176829; 9176838-9176840; 9176848-9176849; 9176950; 917696; 9177000; 9177009-9177010; 917702; 917708-917709; 9177100; 9177108-9177109; 9177180; 9177188-9177189; 9177259-9177260; 9177268-9177270; 9177278-9177280; 9177288-9177289; 917736-917739; 917742; 9177490; 9177498-9177500; 9177508-9177510; 9177518-9177520; 9177528-9177530; 9177538-9177540; 9177548-9177550; 9177558-9177560; 9177568-9177570; 9177578-9177580; 9177588-9177590; 9177598-9177599; 917760; 9177618-9177620; 9177628-9177630; 9177638-9177640; 9177648-9177650; 9177658-9177660; 9177668-9177669; 9177770; 9177778-9177780; 9177788-9177790; 9177798-9177799; 9177810; 9177818-9177820; 9177828-9177830; 9177838; 9177939-9177940; 9177948-9177949; 917795; 9178010; 9178018-9178020; 9178028-9178029; 917807; 9178409-9178410; 9178418-9178419; 917842; 9178430; 917845; 9178460; 917869; 917880; 9178870; 9178872; 918050; 918056; 91808-91809; 918105-918107; 918115-918116; 9181189-9181190; 9181198-9181199; 91812; 918130; 9181310; 9181318-9181320; 9181328-9181330; 9181338-9181340; 9181348-9181350; 9181358-9181360; 9181368-9181370; 9181378-9181380; 9181388-9181390; 9181398; 91814; 9181580; 9181588-9181590; 9181598-9181599; 9181700; 9181708-9181709; 918171; 9181720; 9181728-9181730; 9181738-9181740; 9181748-9181750; 9181758-9181760; 9181768-9181770; 9181778-9181779; 918179; 9181800; 9181808-9181809; 9181829-9181830; 9181838-9181840; 9181879-9181880; 9181888-9181890; 918197; 918220; 918233; 918235; 918237; 918264; 9182658-9182660; 9182668-9182670; 9182678-9182679; 918269; 918271; 9182720; 9182728-9182729; 918273; 9182740; 9182748-9182749; 9182760; 9182768-9182769; 9182820; 9182828-9182830; 9182838-9182840; 9182848-9182849; 9182880; 9182888-9182890; 918290; 918292-918296; 918306; 918341; 918349; 9183539-9183540; 9183548-9183550; 918374; 9183818-9183820; 9183828-9183829; 918400-918401; 918409; 9184130; 9184138-9184140; 9184148-9184150; 9184158-9184160; 918420-918421; 918423; 918427; 918429; 918445-918446; 918448; 9184509-9184510; 9184518-9184520; 9184528-9184529; 918453; 9184540; 9184548-9184550; 9184558-9184560; 9184568-9184570; 9184578-9184580; 918460; 9184718-9184720; 9184728-9184730; 9184738-9184740; 9184748; 9184828-9184830; 9184838-9184840; 9184848-9184850; 9184858-9184859; 9184870; 9184878-9184880; 9184888-9184889; 9184900; 9184908-9184910; 9184918-9184920; 9184928-9184930; 9184938-9184940; 918511; 9185198-9185200; 9185208-9185209; 918521; 9185220; 9185228-9185230; 9185238; 918527-918530; 9185320; 9185328-9185330; 9185338-9185340; 9185348-9185350; 9185389-9185390; 9185398-9185400; 9185408-9185410; 9185418-9185420; 9185428-9185430; 9185438-9185439; 9185450; 9185458-9185460; 9185698-9185700; 9185708-9185710; 9185718-9185720; 9185728; 9185828-9185830; 9185838-9185840; 9185848-9185850; 9185858; 918597; 918600; 9186230; 9186238-9186240; 9186248-9186250; 9186258-9186260; 9186268-9186270; 9186278-9186280; 9186288-9186290; 9186298; 9186408-9186409; 9186418-9186420; 9186428-9186429; 9186438-9186440; 9186448-9186450; 9186458-9186460; 9186468-9186470; 9186478-9186480; 9186488-9186490; 918653; 918655; 918658; 918670; 918690; 918699; 918712; 918714; 9187298-9187300; 9187308-9187310; 9187318-9187320; 9187328-9187330; 9187338-9187340; 9187348-9187350; 9187358-9187360; 9187368-9187370; 9187378-9187380; 9187388-9187390; 9187539; 918754-918757; 9187610; 9187618-9187619; 918769; 918800; 918809; 9188110; 9188118-9188120; 9188128-9188129; 9188239; 918826-918827; 9188290; 9188298-9188299; 9188520; 9188528-9188529; 918853; 9188540; 9188548-9188550; 9188558-9188560; 9188568-9188570; 9188578-9188579; 918858; 918861; 9188620; 9188628-9188630; 9188638-9188640; 9188648-9188650; 9188658-9188659; 918866-918867; 9188680; 9188688-9188690; 9188698-9188699; 918870-918871; 918885; 918904-918905; 9189220; 9189228-9189229; 918923; 9189240; 9189248-9189249; 918925; 9189310; 9189318-9189319; 9189358-9189360; 9189368; 9189420; 9189428-9189429; 9189440; 9189448-9189450; 9189455; 9189458-9189459; 918950-918951; 918953; 918956; 918960-918962; 918967-918969; 91897; 918981-918984; 9190; 919162-919163; 919166; 919198-919199; 9192; 9195; 919535; 9196; 919701; 919704; 919717; 919724-919725; 919729-919731; 919752; 919755; 919760; 919766; 919771; 919777; 919779; 919784; 919789; 9198-9199</t>
  </si>
  <si>
    <t>INDIA-MOBILE OTHER</t>
  </si>
  <si>
    <t>917040; 917210; 9172200; 9172208-9172210; 9172218-9172220; 9172228; 917248; 9172698-9172700; 9172708-9172710; 9172718-9172720; 9172728-9172730; 9172738-9172740; 9172748-9172749; 917277-917278; 9172790; 9172798-9172799; 917293; 917298-917299; 917310; 9173289-9173290; 9173298-9173299; 917330; 9173311; 9173370; 9173372-9173378; 9173411; 917348; 917373; 917399; 91740; 9174210; 9174218-9174220; 9174228-9174230; 9174238-9174240; 9174679-9174680; 9174688-9174690; 9174698-9174699; 917470; 9174711; 9174770; 9174772-9174778; 917478-917479; 91750; 917519; 9175299; 9175308-9175310; 9175318-9175320; 9175328-9175330; 9175369-9175370; 9175378-9175380; 9175389-9175390; 9175398; 9175408-9175409; 917550; 9175511; 9175572-9175576; 9176100; 9176108-9176110; 9176118-9176119; 9176150; 9176158-9176159; 9176197; 917677; 9176850; 9176858-9176860; 9176868-9176870; 9176878-9176880; 9177150; 9177158-9177159; 9177839-9177840; 9177848-9177850; 9177858-9177860; 9177868-9177869; 9177908-9177910; 9177918-9177920; 9177928-9177930; 9177938; 917809; 9178129-9178130; 9178138-9178139; 9178168-9178169; 9178438-9178440; 9178448-9178449; 91787; 9178811; 9178879; 917899; 917994-917995; 917998; 918012-918015; 918019; 918055; 91810; 9181810; 9181818-9181820; 9181828; 9182299-9182300; 9182308-9182310; 9182318-9182320; 9182328-9182329; 9182348-9182349; 9182368-9182369; 9182518-9182519; 9182538-9182540; 9182548-9182550; 9182558-9182560; 9182568; 918268; 918285-918286; 918344; 9183849-9183850; 9183858-9183860; 9183868-9183870; 9183878-9183879; 918410; 91843; 9184428-9184430; 9184438-9184440; 9184448-9184449; 9184700; 918507-918508; 918526; 918553; 9185598-9185600; 9185608-9185610; 9185618-9185620; 9185628-9185630; 9185638-9185640; 9185648-9185650; 9185658-9185660; 9185668-9185670; 9185678-9185680; 9185688-9185690; 918574-918575; 9185999; 91860; 9186200; 9186208-9186210; 9186218-9186220; 9186228-9186229; 9186499; 9186540; 9186548-9186549; 9186560; 9186568-9186569; 9186590; 9186598-9186599; 9186710; 9186718-9186720; 9186728-9186730; 9186738-9186740; 918675; 918679; 918686-918687; 9186939-9186940; 9186948-9186949; 9187108-9187110; 9187118-9187119; 9187498-9187499; 9187510; 9187518-9187520; 9187528-9187530; 9187538; 918759-918760; 918766; 918791-918793; 918796-918798; 9187998-9187999; 91880; 918810; 918820; 918828; 918883; 918891-918893; 918896; 918898-918899; 918906-918909; 9189468-9189470; 9189478-9189479; 9189520; 9189528-9189529; 9189630; 9189638; 91901-91902; 9191; 9193; 9197; 919868-919869; 919968-919969</t>
  </si>
  <si>
    <t>INDIA-MOBILE RELIANCE</t>
  </si>
  <si>
    <t>916000-916003; 916005-916006; 916009; 916200-916207; 916238-916239; 916260-916261; 916263-916268; 916280-916284; 916289-916291; 916294-916297; 916299-916307; 9163500-9163506; 916351-916355; 916360-916363; 916367; 916369-916372; 916374-916383; 916386-916388; 916392-916398; 91700-91701; 917020-917021; 917029; 9170489; 917061; 917067; 9172176-9172178; 917306-917307; 9173550-9173557; 9173559; 917439; 917483; 917488-917489; 917498-917499; 917505; 917569; 9176010; 9176018-9176019; 9176038-9176039; 9176048-9176049; 917620; 9176270; 9176518-9176520; 917666-917668; 9176708-9176710; 9176718-9176720; 917676; 9176781-9176786; 917679; 9176830; 9176958-9176959; 9177018-9177019; 9177038-9177039; 9177173-9177177; 9177194-9177197; 9177228-9177230; 9177238-9177240; 9177248-9177250; 9177258; 917735; 9177400; 9177430; 9177801-9177809; 9178030; 9178038-9178040; 9178048-9178050; 9178058-9178060; 9178068-9178069; 9178100; 9178108-9178110; 9178118-9178120; 9178128; 917814; 9178150; 9178158-9178160; 9178170; 9178178-9178180; 9178188-9178190; 9178198-9178200; 9178208-9178210; 9178218-9178220; 9178228-9178230; 9178238; 917827-917828; 9178468-9178470; 9178478-9178480; 9178488-9178490; 9178498-9178500; 9178508-9178510; 9178518-9178520; 9178528-9178530; 9178538-9178540; 9178548-9178550; 9178558-9178560; 9178568-9178570; 9178578-9178580; 9178588-9178590; 9178598-9178599; 9178610; 9178618-9178620; 9178628-9178630; 9178638-9178640; 9178648-9178650; 9178658-9178660; 9178668-9178669; 917876-917879; 9178883-9178889; 917889; 917892; 917903-917908; 9179090; 917972-917978; 9179790; 9179797-9179799; 91798; 917990; 9179911; 9179922-9179924; 917999-918000; 9180055-9180059; 918010; 918072-918077; 9180786; 9180790; 918080-918081; 918088; 9180917; 918100-918104; 9181122; 9181144; 9181188; 918144; 918160; 918168-918169; 918178; 918200; 918208-918210; 9182170; 9182172-9182178; 918218-918219; 9182340; 9182360; 918240; 9182470; 9182472-9182478; 918248-918250; 9182510; 918252; 9182530; 918260; 9182610; 9182618-9182620; 9182628-9182630; 9182638-9182639; 9182650; 9182786-9182788; 9182792-9182799; 918287; 9182990-9182998; 918302-918303; 918305; 918307; 918309-918310; 9183170; 9183173-9183176; 918318-918320; 9183277; 9183280-9183286; 9183288-9183289; 918329; 9183401-9183407; 9183558-9183560; 9183568-9183569; 918360; 918368-918369; 9183830; 9183838-9183840; 9183848; 9183880; 9183888-9183890; 9183898-9183899; 9183910; 9183918-9183920; 918431; 9184330-9184332; 9184334; 9184500; 9184508; 918459; 9184670; 9184678-9184680; 9184688-9184689; 9184708-9184710; 918509; 9185447; 9185550; 9185558-9185559; 9185804-9185809; 918590-918591; 918595; 918610; 9186170; 9186172-9186178; 918618-918619; 9186299; 918630; 9186370; 9186372-9186376; 9186378; 918638-918639; 9186400; 9186410; 9186430; 9186498; 918660; 9186670; 9186672-9186678; 918668; 9186690-9186691; 918688; 918700; 9187070; 9187072-9187078; 918708-918709; 9187100; 9187660; 9187662-9187669; 918767; 918770; 9187770; 9187772-9187778; 918778-918780; 9187870; 9187872-9187878; 918788-918789; 918799; 9188102-9188109; 918815; 918817; 918822; 918824-918825; 918830; 9188370; 9188372-9188378; 918838-918840; 9188470; 9188472-9188476; 9188478; 918848-918851; 918880; 918882; 9188875-9188879; 918910; 9189172-9189176; 918918-918921; 918926-918928; 9189460; 918949; 918955; 918957; 918999; 919014-919016; 919019; 919021-919027; 9190572; 9190575; 919064; 919074; 9190790-9190793; 9190796-9190799; 919080; 919082; 919098; 919101; 919103; 919106; 919110; 919113; 919123; 919131; 919137; 919140; 919142; 919149; 919153; 919182; 919184; 919194; 919196; 919201-919204; 919209-919210; 919213-919215; 919218-919219; 919221; 919223; 919225-919227; 919229-919232; 919234-919239; 919241-919245; 919248-919252; 919254; 919258-919259; 9192609; 919261; 919263; 9192649; 919265; 9192679; 919269-919270; 919272; 919274; 919277; 919279-919281; 919284; 919286-919287; 919293; 919296; 919298; 919301-919307; 9193090-9193095; 9193097-9193099; 919310; 919313; 919315-919317; 9193183-9193184; 919320-919322; 919324-919330; 919332; 919334-919337; 919339-919348; 919350-919354; 919356; 919359-919361; 919363-919366; 919368-919370; 919372-919373; 919380-919382; 919389-919392; 919395; 919398-919399; 919508-919510; 9195112; 9195115-9195118; 919518; 919528-919529; 919548; 919555; 919569; 919579-919580; 919588; 919608; 919625; 919641; 9196530-9196534; 9196536; 919664; 9196821; 9196823; 9196825-9196826; 919684; 919691-919693; 919696; 919699; 919749; 919770; 9197730-9197732; 9197734; 919778; 919798; 919817; 919827; 919832; 919834-919835; 919842; 919861; 919863-919865; 9198700; 9198706-9198709; 9198750-9198756; 919877; 919883; 919905; 919907; 919942</t>
  </si>
  <si>
    <t>INDIA-MOBILE VODAFONE</t>
  </si>
  <si>
    <t>913579; 91410; 91412; 914190-914191; 916292; 916357; 916359; 916384; 916389-916391; 9168284; 916913; 917027; 917030; 917034; 917045; 917064; 917066; 917069; 917072; 917076; 917081; 917094; 9172010; 9172018-9172020; 9172028-9172030; 9172038-9172039; 9172111; 917218; 9172298-9172300; 9172308-9172310; 9172318-9172320; 9172328-9172330; 9172338-9172340; 9172348-9172350; 9172358-9172360; 9172368-9172370; 9172378-9172380; 9172388-9172390; 9172398-9172399; 917240; 9172411; 9172470; 9172472-9172478; 9172499; 9172510; 9172518-9172520; 9172528-9172530; 9172538-9172540; 9172548-9172550; 9172558-9172560; 9172568-9172570; 9172619-9172620; 9172628-9172630; 9172638-9172640; 9172648-9172650; 9172658-9172659; 9172800; 9172808-9172810; 9172818-9172820; 9172828-9172830; 9172838-9172840; 9172848-9172850; 9172858-9172860; 9172868-9172870; 9172878-9172880; 9172888-9172890; 9172898-9172900; 9172908-9172910; 9172918-9172920; 9173100-9173104; 9173111; 9173170; 9173172-9173174; 9173220; 9173228-9173230; 9173238-9173240; 9173248-9173250; 9173477-9173478; 9173498-9173499; 9173600; 9173608-9173610; 9173618-9173620; 9173628; 9173698-9173700; 9173708-9173710; 9173718-9173720; 9173728-9173729; 9173740; 9173748-9173750; 9173758-9173759; 917377-917379; 917381; 9173910; 9173918-9173919; 917406-917409; 9174108-9174109; 9174120; 9174128-9174130; 9174138-9174140; 9174148; 917419; 9174279; 917429; 9174300; 9174308-9174310; 9174318-9174320; 9174328-9174330; 9174338-9174340; 9174348-9174350; 9174358-9174360; 9174368-9174370; 9174378-9174380; 9174388-9174389; 917440; 9174411; 9174470; 9174472-9174478; 917448-917449; 9174500; 9174508-9174509; 9174648-9174650; 9174658-9174660; 9174668-9174670; 9174678; 9174784-9174793; 9174910; 9174918-9174920; 9174928-9174930; 9174938-9174940; 917506-917509; 917520; 9175229; 9175268-9175270; 9175278-9175280; 9175288-9175290; 9175298; 9175338-9175340; 9175348-9175350; 9175358-9175360; 9175368; 9175448-9175450; 9175458-9175460; 9175468-9175470; 9175478-9175480; 9175489; 917549; 9175508-9175510; 9175518; 9175570; 9175578; 9175590; 9175598-9175599; 9175608-9175610; 9175618-9175620; 9175628-9175630; 9175638-9175640; 9175648-9175650; 9175658-9175659; 917566-917567; 9175700; 9175708-9175710; 9175718-9175720; 9175728-9175730; 9175738-9175740; 9175748-9175750; 9175758-9175760; 9175768-9175770; 9175778-9175780; 9175788-9175789; 9175808-9175810; 9175818-9175820; 9175828-9175830; 9175838; 9175919-9175920; 9175928-9175930; 9175938-9175940; 9175948-9175949; 9176170; 9176174-9176178; 9176180-9176186; 9176188-9176190; 9176198-9176199; 9176210; 9176218-9176220; 9176228-9176230; 9176238-9176240; 917631; 9176389; 917639; 9176400; 9176408-9176410; 9176418-9176420; 9176428-9176429; 917654; 9176589-9176590; 9176598-9176600; 9176608-9176610; 9176618-9176620; 9176628-9176630; 9176638-9176640; 9176648-9176649; 917665; 917669; 9176700; 9176728-9176730; 9176738; 9176788-9176789; 9176888-9176890; 9176898-9176900; 9176908-9176910; 9176918-9176920; 9176928-9176930; 9176938-9176940; 9176948-9176949; 917697-917699; 9177030; 9177040; 9177048-9177050; 9177058-9177060; 9177068-9177069; 9177181-9177187; 9177190-9177193; 9177198-9177200; 9177208-9177210; 9177218-9177220; 9177290; 9177298-9177300; 9177308-9177310; 9177318-9177320; 9177328-9177330; 9177338-9177340; 9177348-9177349; 9177408-9177410; 9177418-9177419; 9177438-9177440; 9177448-9177450; 9177458-9177460; 9177468-9177470; 9177478-9177480; 9177488-9177489; 9177670; 9177678-9177680; 9177688-9177690; 9177698-9177700; 9177708-9177710; 9177718-9177720; 9177728-9177730; 9177738-9177740; 9177748-9177750; 9177758-9177760; 9177768-9177769; 9177870; 9177878-9177880; 9177888-9177890; 9177898-9177900; 917796-917800; 917808; 9178239-9178240; 9178248-9178250; 9178258-9178260; 9178268-9178269; 917829-917830; 9178310; 9178318-9178320; 9178328-9178330; 9178338-9178340; 9178348-9178350; 9178358-9178360; 9178368-9178369; 917837-917838; 9178400; 9178408; 917860; 9178670; 9178678-9178680; 9178688-9178689; 917872-917875; 9178873-9178878; 9178880-9178882; 917890-917891; 917996-917997; 918001; 918006-918007; 918017; 918051-918054; 918057-918059; 918086; 918094-918095; 918098; 9181100; 9181108-9181110; 9181118-9181119; 9181130; 9181138-9181139; 9181399; 918141-918142; 918145; 9181500; 9181508-9181510; 9181518-9181520; 9181528-9181530; 9181538-9181540; 9181548-9181550; 9181558-9181560; 9181568-9181570; 9181578-9181579; 9181848-9181850; 9181858-9181860; 9181868-9181870; 9181878; 9181898-9181900; 9181908-9181910; 9181918-9181920; 9181928-9181930; 9181938-9181940; 9181948-9181950; 9181958-9181960; 9181968-9181969; 9181980; 9181988-9181990; 9181998-9181999; 9182210; 9182218-9182220; 9182228-9182230; 9182238-9182240; 9182248-9182250; 9182258-9182260; 9182268-9182270; 9182278-9182280; 9182288-9182290; 9182298; 918238-918239; 9182569-9182570; 9182578-9182580; 9182588-9182590; 9182598-9182599; 918270; 918291; 918297-918298; 918308; 9183178; 9183270; 9183272-9183276; 9183278; 9183287; 9183340; 9183348-9183350; 9183358-9183360; 9183368-9183370; 9183378-9183380; 9183388-9183390; 9183398-9183399; 9183420; 9183428-9183430; 9183438-9183439; 9183450; 9183458-9183460; 9183468-9183469; 918347-918348; 9183500; 9183508-9183510; 9183518-9183520; 9183528-9183530; 9183538; 9183570; 9183578-9183580; 9183588-9183590; 9183598-9183599; 9183678; 9183700; 9183708-9183710; 9183718-9183720; 9183728-9183730; 9183738-9183739; 9183750; 9183758-9183760; 9183768-9183770; 9183778-9183780; 9183788-9183790; 9183798-9183800; 9183808-9183810; 918390; 9183928-9183930; 9183938-9183940; 9183948-9183950; 9183958-9183960; 9183968-9183970; 9183978-9183980; 9183988-9183990; 9183998-9183999; 9184020; 9184028-9184030; 9184038-9184040; 9184048-9184050; 9184058-9184060; 9184068-9184070; 9184078-9184080; 9184088-9184089; 9184110; 9184118-9184120; 9184128-9184129; 9184168-9184170; 9184178-9184180; 9184188-9184190; 9184198-9184199; 9184220; 9184228-9184229; 9184240; 9184248-9184250; 9184258-9184260; 9184268-9184269; 918428; 918436; 9184400; 9184408-9184410; 9184418-9184420; 918447; 918449; 9184588-9184589; 9184610; 9184618-9184620; 9184628-9184630; 9184638-9184640; 9184648-9184650; 9184658-9184660; 9184668-9184669; 918469; 9184749-9184750; 9184758-9184760; 9184768-9184770; 9184778-9184780; 9184788-9184790; 9184798-9184799; 9184810; 9184818-9184820; 918486; 918489; 9184948-9184950; 9184958-9184960; 9184968-9184970; 9184978-9184980; 9184988-9184990; 9184998-9184999; 9185010; 9185018-9185020; 9185028-9185030; 9185038-9185040; 9185048-9185050; 9185058-9185060; 9185068-9185069; 9185100; 9185108-9185109; 9185120; 9185128-9185130; 9185138-9185140; 9185148-9185150; 9185158-9185160; 9185168-9185170; 9185178-9185180; 9185188-9185190; 9185239-9185240; 9185248-9185250; 9185258-9185259; 9185310; 9185318-9185319; 9185358-9185360; 9185368-9185370; 9185378-9185380; 9185388; 9185468-9185469; 9185480; 9185488-9185490; 9185498-9185500; 9185508-9185510; 9185518-9185520; 9185528-9185529; 9185540; 9185548-9185549; 9185560; 9185568-9185570; 9185578-9185580; 9185588-9185590; 9185729-9185730; 9185738-9185739; 9185760; 9185768-9185770; 9185778-9185780; 9185788-9185790; 9185798-9185799; 9185810; 9185818-9185820; 9185859-9185860; 9185868-9185870; 9185878-9185880; 9185888-9185890; 9185898-9185899; 9185920; 9185928-9185930; 9185938-9185940; 9185948-9185949; 9185960; 9185968-9185969; 9185980; 9185988-9185990; 9185998; 918601; 918650-918652; 918657; 9186748-9186749; 9186760; 9186768-9186770; 9186778-9186780; 9186788-9186789; 9186800; 9186808-9186810; 9186818-9186820; 9186828-9186830; 9186838-9186840; 9186848-9186850; 9186858-9186859; 9186890; 9186898-9186899; 9186910; 9186918-9186920; 9186928-9186930; 9186938; 918695-918698; 9187130; 9187138-9187139; 9187150; 9187158-9187160; 9187168-9187170; 9187178-9187180; 9187188-9187190; 9187198-9187200; 9187208-9187210; 9187218-9187219; 918722; 9187230; 9187238-9187240; 9187248-9187250; 9187258-9187259; 918726; 9187270; 9187278-9187280; 9187288-9187290; 9187398-9187400; 9187408-9187410; 9187418-9187420; 9187428-9187430; 9187438-9187440; 9187448-9187450; 9187458-9187460; 9187468-9187470; 9187478-9187480; 9187488-9187490; 918750; 918758; 918768; 918794-918795; 918806; 9188130; 9188138-9188140; 9188148-9188149; 9188160; 9188168-9188169; 9188180; 9188188-9188190; 9188198-9188199; 9188210; 9188218-9188219; 9188230; 9188238; 918859-918860; 918872-918879; 918881; 918884; 918886; 918888-918889; 918929-918930; 9189320; 9189328-9189330; 9189338-9189340; 9189348-9189350; 9189369-9189370; 9189378-9189380; 9189388-9189389; 918939-918940; 9189410; 9189418-9189419; 918943; 918948; 918954; 918958-918959; 9189639-9189640; 9189648-9189650; 9189658-9189660; 9189668-9189669; 918980; 919047-919052; 919070; 919072-919073; 919083; 919099; 9191120-9191121; 919115; 919127; 9191450-9191457; 919152; 919158-919161; 919167-919168; 919176; 919193; 9192949; 9192975-9192979; 919374-919375; 919512-919513; 919517; 919522; 919534; 919536-919539; 919545; 919549; 919554; 919564-919565; 919570; 919581-919587; 919593; 919607; 919609-919610; 919619-919620; 919626-919628; 919637-919638; 919642-919643; 919645-919649; 919654-919655; 919670-919675; 919687; 919703; 919706; 919709; 919711-919713; 919719-919721; 919726-919727; 919732-919736; 919739; 919742; 919745; 919751; 919758-919759; 919761; 919764-919765; 919769; 919772; 919774-919776; 919780; 919783; 919786-919787; 919792; 919796; 919811; 919813; 919819-919820; 919823; 919825; 919828; 919830; 919833; 919836; 919838-919839; 919843; 919846; 919873-919874; 919879; 919884-919886; 919888; 919899; 919909; 919913; 919916; 919918-919920; 919923; 919925; 919930; 919943; 919946; 919953; 919962; 919966; 919978-919979; 919982-919986; 919988; 919991; 919999</t>
  </si>
  <si>
    <t>INDONESIA</t>
  </si>
  <si>
    <t>62</t>
  </si>
  <si>
    <t>INDONESIA-JAKARTA</t>
  </si>
  <si>
    <t>6221</t>
  </si>
  <si>
    <t>INDONESIA-MOBILE EXCELCOM</t>
  </si>
  <si>
    <t>62817-62819; 62831-62833; 62838-62839; 62859; 62877-62878</t>
  </si>
  <si>
    <t>INDONESIA-MOBILE INDOSAT</t>
  </si>
  <si>
    <t>62814-62816; 62855-62858; 62895-62899</t>
  </si>
  <si>
    <t>INDONESIA-MOBILE OTHERS</t>
  </si>
  <si>
    <t>628</t>
  </si>
  <si>
    <t>INDONESIA-MOBILE TELKOMSEL</t>
  </si>
  <si>
    <t>62811-62813; 62821-62823; 62851-62853</t>
  </si>
  <si>
    <t>INDONESIA-OTHERS</t>
  </si>
  <si>
    <t>6222; 62251; 62341; 62361; 62411; 6261; 62778</t>
  </si>
  <si>
    <t>INDONESIA-SURABAYA</t>
  </si>
  <si>
    <t>6231</t>
  </si>
  <si>
    <t>INMARSAT</t>
  </si>
  <si>
    <t>870</t>
  </si>
  <si>
    <t>INMARSAT AERO GLOBAL</t>
  </si>
  <si>
    <t>8705</t>
  </si>
  <si>
    <t>INMARSAT BGAN HSD GLOBAL</t>
  </si>
  <si>
    <t>87078</t>
  </si>
  <si>
    <t>INMARSAT BGAN LSV GLOBAL</t>
  </si>
  <si>
    <t>87077</t>
  </si>
  <si>
    <t>INMARSAT M4 GLOBAL</t>
  </si>
  <si>
    <t>87060</t>
  </si>
  <si>
    <t>INMARSAT MINI M GLOBAL</t>
  </si>
  <si>
    <t>87076</t>
  </si>
  <si>
    <t>INMARSAT PREPAY BOX</t>
  </si>
  <si>
    <t>8707</t>
  </si>
  <si>
    <t>IRAN</t>
  </si>
  <si>
    <t>98</t>
  </si>
  <si>
    <t>IRAN-MOBILE MTN</t>
  </si>
  <si>
    <t>98901-98905; 98930; 98933; 98935-98939; 989991; 989993</t>
  </si>
  <si>
    <t>IRAN-MOBILE OTHERS</t>
  </si>
  <si>
    <t>989</t>
  </si>
  <si>
    <t>IRAN-TEHRAN</t>
  </si>
  <si>
    <t>9821</t>
  </si>
  <si>
    <t>IRAQ</t>
  </si>
  <si>
    <t>964</t>
  </si>
  <si>
    <t>IRAQ-MOBILE ASIACELL</t>
  </si>
  <si>
    <t>96477</t>
  </si>
  <si>
    <t>IRAQ-MOBILE KOREK</t>
  </si>
  <si>
    <t>96475</t>
  </si>
  <si>
    <t>IRAQ-MOBILE OTHERS</t>
  </si>
  <si>
    <t>9647</t>
  </si>
  <si>
    <t>IRAQ-MOBILE ZAIN</t>
  </si>
  <si>
    <t>96478-96479; 96496</t>
  </si>
  <si>
    <t>IRELAND</t>
  </si>
  <si>
    <t>353</t>
  </si>
  <si>
    <t>IRELAND-DUBLIN</t>
  </si>
  <si>
    <t>3531</t>
  </si>
  <si>
    <t>IRELAND-MOBILE H3G</t>
  </si>
  <si>
    <t>35383</t>
  </si>
  <si>
    <t>IRELAND-MOBILE METEOR</t>
  </si>
  <si>
    <t>35385</t>
  </si>
  <si>
    <t>IRELAND-MOBILE O2</t>
  </si>
  <si>
    <t>35386</t>
  </si>
  <si>
    <t>IRELAND-MOBILE OTHERS</t>
  </si>
  <si>
    <t>3538</t>
  </si>
  <si>
    <t>IRELAND-MOBILE TESCO</t>
  </si>
  <si>
    <t>3538920-3538927; 353894; 35389520-35389523; 3538954</t>
  </si>
  <si>
    <t>IRELAND-MOBILE VODAFONE</t>
  </si>
  <si>
    <t>35387</t>
  </si>
  <si>
    <t>IRELAND-OTHERS</t>
  </si>
  <si>
    <t>353818</t>
  </si>
  <si>
    <t>IRELAND-VOIP</t>
  </si>
  <si>
    <t>35376</t>
  </si>
  <si>
    <t>IRIDIUM</t>
  </si>
  <si>
    <t>8816-8817</t>
  </si>
  <si>
    <t>ISRAEL</t>
  </si>
  <si>
    <t>972</t>
  </si>
  <si>
    <t>ISRAEL-MOBILE</t>
  </si>
  <si>
    <t>9721515; 9721535; 97250-97255; 97257-97258</t>
  </si>
  <si>
    <t>ISRAEL-PALESTINE</t>
  </si>
  <si>
    <t>97222; 97242; 97282; 97292</t>
  </si>
  <si>
    <t>ISRAEL-PALESTINE MOBILE</t>
  </si>
  <si>
    <t>97256; 97259</t>
  </si>
  <si>
    <t>ITALY</t>
  </si>
  <si>
    <t>39</t>
  </si>
  <si>
    <t>ITALY-MOBILE ILIAD</t>
  </si>
  <si>
    <t>393513-393520; 393522; 39747</t>
  </si>
  <si>
    <t>ITALY-MOBILE KENA</t>
  </si>
  <si>
    <t>39350; 39381</t>
  </si>
  <si>
    <t>ITALY-MOBILE LYCAMOBILE</t>
  </si>
  <si>
    <t>393508-393509; 39351; 39382</t>
  </si>
  <si>
    <t>ITALY-MOBILE OTHERS</t>
  </si>
  <si>
    <t>393; 39751</t>
  </si>
  <si>
    <t>ITALY-MOBILE OTHERS2</t>
  </si>
  <si>
    <t>39310; 39313; 393534; 393710; 393783; 39746; 39749</t>
  </si>
  <si>
    <t>ITALY-MOBILE POSTE</t>
  </si>
  <si>
    <t>393711; 393713-393716; 39741</t>
  </si>
  <si>
    <t>ITALY-MOBILE TIM</t>
  </si>
  <si>
    <t>39330-39331; 39333-39339; 39360-39363; 39366; 39368; 39370</t>
  </si>
  <si>
    <t>ITALY-MOBILE VODAFONE</t>
  </si>
  <si>
    <t>3934; 393717; 393760-393761; 39377; 393784; 393791-393793; 39383</t>
  </si>
  <si>
    <t>ITALY-MOBILE WIND</t>
  </si>
  <si>
    <t>39320; 39322-39324; 39327-39329; 39355; 39373; 39380; 39388-39393; 39397</t>
  </si>
  <si>
    <t>ITALY-TESLATEL</t>
  </si>
  <si>
    <t>39199</t>
  </si>
  <si>
    <t>ITALY-VOIP</t>
  </si>
  <si>
    <t>39550071-39550072; 39552467-39552468; 3955999</t>
  </si>
  <si>
    <t>IVORY COAST</t>
  </si>
  <si>
    <t>225</t>
  </si>
  <si>
    <t>IVORY COAST-MOBILE MOOV</t>
  </si>
  <si>
    <t>22501-22503; 2252080; 2252280; 2252380; 22540-22543; 22550-22553; 22570-22573</t>
  </si>
  <si>
    <t>IVORY COAST-MOBILE MTN</t>
  </si>
  <si>
    <t>22505</t>
  </si>
  <si>
    <t>IVORY COAST-MOBILE ORANGE</t>
  </si>
  <si>
    <t>22507-22509; 22547-22549; 22557-22559; 22567-22569; 22577-22579; 22587-22589; 22597-22598</t>
  </si>
  <si>
    <t>IVORY COAST-MOBILE ORICELL</t>
  </si>
  <si>
    <t>22560-22561</t>
  </si>
  <si>
    <t>IVORY COAST-OTHER FIXED</t>
  </si>
  <si>
    <t>22525</t>
  </si>
  <si>
    <t>IVORY COAST-PRS</t>
  </si>
  <si>
    <t>2252170; 225272170; 225272179; 22590409</t>
  </si>
  <si>
    <t>IVORY COAST-SPECIAL SVCS</t>
  </si>
  <si>
    <t>2256988-2256989</t>
  </si>
  <si>
    <t>JAMAICA</t>
  </si>
  <si>
    <t>1658; 1876</t>
  </si>
  <si>
    <t>JAMAICA-MOBILE DIGICEL</t>
  </si>
  <si>
    <t>187624-187626; 1876275-1876279; 187628-187630; 187635-187639; 1876401-1876409; 187641-187649; 1876503-1876509; 1876520-1876522; 1876524; 1876527-1876529; 187655-187659; 1876618-1876619; 18766210; 1876648-1876649; 1876665-1876669; 1876671-1876673; 187684-187689</t>
  </si>
  <si>
    <t>JAMAICA-MOBILE OTHERS</t>
  </si>
  <si>
    <t>1658201-1658210; 1658212-1658221; 1658223-1658225; 1876201-1876210; 1876212-1876221; 1876223-1876239; 1876310; 1876312-1876319; 187632-187634; 1876415; 1876501-1876502; 1876510; 1876512-1876513; 1876515; 1876517-1876519; 18765230000; 18765250000; 187653-187654; 1876563; 1876700; 1876707; 187677; 1876781-1876784; 1876787-1876793; 1876796-1876799; 1876801-1876810; 1876812-1876819; 187682-187683; 1876909; 1876919; 1876990; 1876995; 1876997; 1876999</t>
  </si>
  <si>
    <t>JAPAN</t>
  </si>
  <si>
    <t>81</t>
  </si>
  <si>
    <t>JAPAN-IP PHONE</t>
  </si>
  <si>
    <t>8150</t>
  </si>
  <si>
    <t>JAPAN-KDDI</t>
  </si>
  <si>
    <t>81315</t>
  </si>
  <si>
    <t>JAPAN-MOBILE</t>
  </si>
  <si>
    <t>8170; 8180; 8190</t>
  </si>
  <si>
    <t>JORDAN</t>
  </si>
  <si>
    <t>962</t>
  </si>
  <si>
    <t>JORDAN-AMMAN</t>
  </si>
  <si>
    <t>9626</t>
  </si>
  <si>
    <t>JORDAN-MOBILE ORANGE</t>
  </si>
  <si>
    <t>96277</t>
  </si>
  <si>
    <t>JORDAN-MOBILE OTHERS</t>
  </si>
  <si>
    <t>96275</t>
  </si>
  <si>
    <t>JORDAN-MOBILE UMNIAH</t>
  </si>
  <si>
    <t>96278</t>
  </si>
  <si>
    <t>JORDAN-MOBILE ZAIN</t>
  </si>
  <si>
    <t>96279</t>
  </si>
  <si>
    <t>KAZAKHSTAN</t>
  </si>
  <si>
    <t>77</t>
  </si>
  <si>
    <t>KAZAKHSTAN-MOBILE BEELINE</t>
  </si>
  <si>
    <t>7705-7706; 7771; 7776-7777</t>
  </si>
  <si>
    <t>KAZAKHSTAN-MOBILE KCELL</t>
  </si>
  <si>
    <t>7701-7702; 7775; 7778</t>
  </si>
  <si>
    <t>KAZAKHSTAN-MOBILE OTHERS</t>
  </si>
  <si>
    <t>7700; 7707-7708; 7747</t>
  </si>
  <si>
    <t>KENYA</t>
  </si>
  <si>
    <t>254</t>
  </si>
  <si>
    <t>KENYA-MOBILE AIRTEL</t>
  </si>
  <si>
    <t>254100-254108; 2542030; 254300030; 25473; 254750-254756; 254760; 254762-254767; 25478</t>
  </si>
  <si>
    <t>KENYA-MOBILE OTHERS</t>
  </si>
  <si>
    <t>2547</t>
  </si>
  <si>
    <t>KENYA-MOBILE SAFARICOM</t>
  </si>
  <si>
    <t>254110-254119; 2542051; 25430000; 2544150; 2544450; 2544651; 2545183; 2545670; 2545785; 2546184; 25470-25472; 254740-254743; 254745-254746; 254748-254749; 254757-254759; 254768-254769; 25479</t>
  </si>
  <si>
    <t>KENYA-MOBILE TELKOM</t>
  </si>
  <si>
    <t>25477</t>
  </si>
  <si>
    <t>KENYA-NAIROBI</t>
  </si>
  <si>
    <t>25420</t>
  </si>
  <si>
    <t>KIRIBATI</t>
  </si>
  <si>
    <t>686</t>
  </si>
  <si>
    <t>KIRIBATI-MOBILE OCEANLINK</t>
  </si>
  <si>
    <t>6866</t>
  </si>
  <si>
    <t>KIRIBATI-MOBILE VODAFONE</t>
  </si>
  <si>
    <t>6867</t>
  </si>
  <si>
    <t>KIRIBATI-SPECIAL SVCS</t>
  </si>
  <si>
    <t>6863000-6863001; 6863012</t>
  </si>
  <si>
    <t>KOSOVO</t>
  </si>
  <si>
    <t>383</t>
  </si>
  <si>
    <t>KOSOVO-MOBILE IPKO</t>
  </si>
  <si>
    <t>38343; 38348-38349</t>
  </si>
  <si>
    <t>KOSOVO-MOBILE OTHERS</t>
  </si>
  <si>
    <t>38344-38347</t>
  </si>
  <si>
    <t>KUWAIT</t>
  </si>
  <si>
    <t>965</t>
  </si>
  <si>
    <t>KUWAIT-MOBILE OTHERS</t>
  </si>
  <si>
    <t>9655</t>
  </si>
  <si>
    <t>KUWAIT-MOBILE WATANIYA</t>
  </si>
  <si>
    <t>9656</t>
  </si>
  <si>
    <t>KUWAIT-MOBILE ZAIN</t>
  </si>
  <si>
    <t>9659</t>
  </si>
  <si>
    <t>KYRGYZSTAN</t>
  </si>
  <si>
    <t>996</t>
  </si>
  <si>
    <t>KYRGYZSTAN-BISHKEK</t>
  </si>
  <si>
    <t>996312</t>
  </si>
  <si>
    <t>KYRGYZSTAN-MOBILE ALFA</t>
  </si>
  <si>
    <t>99655; 996755; 996880; 996888; 996990; 996995-996999</t>
  </si>
  <si>
    <t>KYRGYZSTAN-MOBILE NUR</t>
  </si>
  <si>
    <t>996312973; 99650; 99670</t>
  </si>
  <si>
    <t>KYRGYZSTAN-MOBILE OTHERS</t>
  </si>
  <si>
    <t>99651; 99656-99657; 996611900; 9966126; 996622-996623</t>
  </si>
  <si>
    <t>KYRGYZSTAN-MOBILE SEVEN</t>
  </si>
  <si>
    <t>996200-996203; 996205; 99654</t>
  </si>
  <si>
    <t>KYRGYZSTAN-MOBILE SKY</t>
  </si>
  <si>
    <t>99622; 99631258; 996600; 99677</t>
  </si>
  <si>
    <t>LAOS</t>
  </si>
  <si>
    <t>856</t>
  </si>
  <si>
    <t>LAOS-MOBILE</t>
  </si>
  <si>
    <t>85620; 85630</t>
  </si>
  <si>
    <t>LATVIA</t>
  </si>
  <si>
    <t>371</t>
  </si>
  <si>
    <t>LATVIA-FIXED OLO1</t>
  </si>
  <si>
    <t>3716000; 371600100-371600104; 371600118; 371600160; 37160606; 37160666; 37161111-37161112; 371611130-371611134; 37161301-37161304; 37162001-37162008; 37162101-37162108; 37162201-37162206; 371622070-371622074; 371622222; 37162302-37162307; 37162333; 37162400-37162403; 37162444; 37162500-37162503; 37162555; 37162601-37162608; 37162666; 37162700-37162703; 37162801-37162804; 37162888; 37162901-37162908; 37162999; 371630073; 37163030; 371630310-371630311; 371630314; 371630318-371630319; 37163032; 371630386-371630387; 37163090-37163092; 37163096-37163098; 371630990-371630994; 37163110-37163113; 371631150-371631151; 371631158-371631159; 37163116; 37163130; 37163132; 371631362; 371631369; 371631984; 37163210; 371632110; 371632112; 37163212-37163213; 371632150; 371632158-371632159; 37163216; 37163219; 37163281; 371632860; 371632862-371632863; 371632869; 371632880; 37163310; 371633111; 371633117; 371633119-371633121; 371633130-371633131; 371633157; 37163316; 371633180-371633182; 37163319; 37163390-37163391; 37163396; 371633990; 37163410; 371634111-371634115; 371634118-371634121; 37163413; 37163415-37163417; 37163470-37163472; 37163474; 371634776-371634777; 37163500-37163501; 371635040; 371635080-371635083; 37163509-37163516; 371635555; 371636100; 371636107-371636109; 371636111-371636115; 371636119-371636121; 371636150-371636151; 37163616-37163617; 371636518; 37163655; 371636560-371636561; 371636569; 37163657; 37163710; 371637119-371637121; 37163713; 371637159; 37163716; 371637180-371637182; 37163719; 37163770-37163771; 371637760-371637762; 37163793-37163796; 37163810; 371638111-371638113; 371638117-371638119; 37163812-37163813; 37163819; 37163888; 37163891; 37163910; 371639111-371639117; 371639120-371639124; 371639150-371639152; 37163916; 371639177; 371639179-371639180; 37163919; 37163990-37163991; 371639926; 371639951-371639952; 371639956; 371639958-371639959; 37164010; 371640115; 371640119-371640123; 37164013; 37164016; 37164091; 371640989; 37164110-37164112; 371641130; 371641161; 371641167; 371641169; 37164118; 37164180; 371641810; 371641820-371641821; 371641851-371641853; 37164186; 37164210; 371642112-371642114; 37164212; 371642162-371642163; 371642169; 37164218; 37164290; 37164292; 371642950-371642951; 37164296; 37164310; 371643112; 371643120-371643121; 37164313; 37164316; 37164319; 37164331; 371643333; 371643353-371643355; 371643359; 37164372-37164375; 37164410-37164412; 371644157-371644159; 37164416; 37164419; 37164421; 371644255-371644257; 37164444; 371644611; 37164510-37164511; 371645120-371645121; 371645157-371645158; 37164516; 37164519; 371645555; 37164581; 371645860-371645861; 371645868-371645869; 37164610; 371646111; 371646114-371646115; 371646117-371646122; 37164615-37164618; 371646469; 371646666; 371646706; 37164672; 37164674-37164675; 371646795; 371646799; 37164680-37164682; 37164710-37164711; 371647120-371647121; 37164716; 37164719; 371647909; 37164791; 371647960-371647961; 371647969; 37164797; 37164810; 371648110-371648111; 37164812-37164813; 371648150; 371648159; 37164816; 37164819; 37164881; 371648850-371648852; 371648858-371648859; 37164901-37164908; 3716492; 37164999; 37165010; 371650114; 371650119; 37165012; 37165014; 37165016; 371650170; 371650179; 371650900-371650901; 371650920-371650923; 37165093; 371650966-371650967; 37165110-37165111; 371651120-371651121; 37165113; 371651158-371651159; 37165116; 371651170; 37165182-37165183; 37165188; 37165210; 371652112; 371652120-371652125; 371652129; 371652158-371652159; 37165216; 371652170; 37165280; 37165282-37165283; 371652860-371652861; 371652868-371652869; 37165288; 37165310; 371653110-371653111; 37165312-37165313; 371653158-371653159; 37165316; 37165390; 37165392; 371653962-371653964; 371653969; 37165410; 37165412-37165413; 371654140; 371654194; 371654199; 37165480; 371654810; 371654820-371654821; 37165483; 371654850-371654851; 371654857-371654859; 37165486-37165489; 3716550-3716551; 371655555; 37165610; 371656116-371656119; 37165612; 371656159; 37165616; 37165631-37165632; 37165637; 371656666; 37165673-37165676; 371656787; 37165710-37165711; 371657120-371657123; 371657130; 371657132-371657139; 371657156; 371657159; 37165716; 37165772-37165773; 371657760-371657761; 371657764-371657765; 371657769; 371657777; 37165790-37165791; 37165794-37165797; 37165801-37165805; 37165813-37165817; 3716582; 37165902-37165909; 37165999; 371660024; 371660049; 37166010-37166019; 37166047; 3716606-3716607; 37166080-37166084; 3716609-3716612; 37166154-37166155; 37166163-37166165; 37166167; 3716619-3716623; 37166240-37166241; 371663330; 371663333; 371663335; 371663344; 37166336; 37166444; 3716660-3716664; 37166655; 37166660; 371666610-371666615; 371666618; 371666620-371666625; 371666627-371666634; 37166664-37166669; 37166677; 37166688; 37166776; 371667776-371667778; 371667788; 371668888; 3716690-3716696; 37166996; 371670161; 371670195; 371670199; 371671100-371671105; 371671107-371671108; 371671597-371671598; 371671910-371671914; 37167194-37167195; 37167198-37167199; 3716723; 3716748-3716749; 37167640-37167648; 37167650; 37167653-37167658; 37167661; 37167663; 37167665-37167666; 3716769; 37167710-37167720; 371677210-371677214; 37167722-37167729; 37167773; 37167780-37167785; 371677870; 37167788; 371677893-371677895; 371677898; 37167790; 37167795-37167799; 37167850-37167855; 37167857; 371678700-371678701; 37167873-37167875; 37167877-37167878; 37167880; 371678840; 37167885-37167889; 37168000; 37168201-37168208; 37168301-37168306; 37168333; 371684010; 3716841; 371684200-371684204; 37168444; 37168601-37168604; 3716861-3716862; 37168666; 371687777; 37168801-37168806; 371699980-371699984; 37169999; 37178540-37178541</t>
  </si>
  <si>
    <t>LATVIA-FIXED OLO2</t>
  </si>
  <si>
    <t>37161300; 37162100; 37162200; 37162301; 37162600; 37162800; 37162900; 371630380-371630385; 37163094; 371631152-371631157; 37163118-37163119; 37163131; 371631350; 371631388-371631389; 37163214; 371632151-371632155; 371632157; 37163218; 37163280; 371632850; 37163287; 371632888; 37163314; 371633151-371633156; 371633950; 37163397-37163398; 371633997-371633998; 371634110; 371634116; 37163414; 371634770-371634775; 371634790-371634791; 371634794; 371634798-371634799; 37163502; 37163505-37163506; 371635880; 371635886-371635889; 371636110; 371636118; 37163613-37163614; 371636562; 371636568; 37163714; 371637151-371637155; 37163778-37163779; 37163792; 371637988; 37163814; 371638150; 37163818; 37163890; 371638950; 371638988; 371639118; 37163914; 37163998-37163999; 371640112; 37164014; 371640151-371640156; 371640159; 37164018; 37164090; 37164096; 371640988; 371641160; 371641162; 371641166; 371641168; 371641170-371641171; 37164119; 37164183-37164184; 371641850; 37164188; 371642160; 371642166; 371642168; 37164219; 37164291; 37164293-37164294; 371643114; 37164314-37164315; 37164318; 37164330; 371643350; 371643388; 37164339; 371643700; 37164413-37164414; 371644150-371644156; 37164418; 37164426; 371644288; 371644600; 37164513-37164514; 37164518; 37164587; 371645888-371645889; 37164613-37164614; 37164671; 371646830; 37164684; 371646850; 371646855; 371646857; 371646859; 371646868; 37164713-37164714; 371647150-371647157; 37164718; 37164790; 371647950; 371647967-371647968; 37164799; 37164814; 37164818; 37164880; 371648898; 37164900; 37164909; 3716491; 371650115; 37165019; 37165091; 371650960-371650965; 371650970-371650977; 37165099; 371651118; 37165114; 371651151-371651155; 371651157; 37165119; 37165181; 371651860; 371651878; 37165189; 37165213-37165214; 371652150-371652155; 371652157; 37165219; 37165281; 371652870; 37165314; 371653151-371653155; 371653157; 37165319; 37165391; 371653998; 371654191; 371654195; 371654198; 371654822-371654829; 37165484; 371654852-371654856; 37165500; 371655888; 37165613-37165614; 371656150-371656155; 37165619; 371656350; 37165636; 37165672; 371656788; 37165714; 371657150-371657155; 37165719; 37165770-37165771; 371657988; 37165800; 37165806-37165807; 371658081; 371658088; 37165818; 371658881-371658885; 371658888-371658889; 37165901; 3716600; 371660200-371660204; 37166026-37166028; 37166040-37166044; 37166050-37166057; 37166064-37166073; 371660880-371660883; 37166090-37166092; 37166108; 37166128-37166129; 3716613; 37166140-37166141; 37166166; 37166168-37166173; 37166177; 3716618; 37166222; 37166253-37166257; 37166259; 3716626; 37166437-37166438; 37166555-37166557; 371668880; 371668882; 371668886-371668887; 371668889-371668890; 371668899-371668901; 371668910-371668916; 37166999; 371671500-371671501; 371671504; 371671508; 37167151-37167152; 371671594-371671596; 371671599; 3716716; 37167190; 37167196-37167197; 37167630-37167631; 37167633; 37167635-37167639; 37167651-37167652; 37167660; 371676620-371676622; 371676627-371676629; 37167664; 37167791; 371677920-371677921; 37167793; 37167859; 37167870-37167872; 37167876; 37167881-37167882; 37168200; 37168300; 371683888; 37168400; 37168402-37168404; 371684051; 371684058; 37168600; 37168605-37168606; 37168612; 37168617; 371686880-371686884; 371686889; 37168800</t>
  </si>
  <si>
    <t>LATVIA-MOBILE BITE</t>
  </si>
  <si>
    <t>3712010-3712017; 3712019; 371206-371207; 3712080-3712088; 37120900; 37120999; 3712205-3712209; 371221; 3712239; 371225; 3712272; 3712280-3712284; 371230-371231; 3712320; 3712322; 3712327; 3712330; 3712337; 37123400; 37123444; 3712347; 37123500; 3712355; 3712357; 3712366; 3712377; 371238-371239; 3712400; 3712411; 3712420; 3712422; 3712424; 371243; 3712440; 3712442; 371245-371246; 3712477; 3712488; 3712499-3712500; 371251; 3712550-3712555; 3712585-3712588; 3712720-3712725; 3712727; 371274-371275; 3712760-3712767; 371277; 3712792; 3712799; 3712855; 3712900; 3712902</t>
  </si>
  <si>
    <t>LATVIA-MOBILE LMT</t>
  </si>
  <si>
    <t>371202; 3712200-3712204; 371224; 3712266; 3712277; 3712288; 3712299; 3712328; 3712444; 371254; 3712556-3712559; 371256-371257; 37125810-37125812; 371261-371266; 3712729; 371273; 3712777; 371278; 3712790; 371280; 371283; 3712849; 371286-371287; 371291-371294; 3713000000; 3713000002</t>
  </si>
  <si>
    <t>LATVIA-MOBILE OTHERS</t>
  </si>
  <si>
    <t>3712</t>
  </si>
  <si>
    <t>LATVIA-MOBILE TELE2</t>
  </si>
  <si>
    <t>371200; 3712018; 371203-371205; 3712089; 3712091; 371209313; 3712094-3712095; 371223; 3712267; 37123230-37123234; 37123238-37123239; 37123330-37123334; 37123338; 37123402; 37123456; 3712478-3712479; 371248; 3712490-3712498; 371252-371253; 371259-371260; 371267-371271; 3712726; 371281-371282; 3712844-3712848; 371288-371289; 371295-371299</t>
  </si>
  <si>
    <t>LATVIA-SPECIAL SVCS</t>
  </si>
  <si>
    <t>3712090; 3712096-3712099; 3712270; 3712278-3712279; 3712290; 3712292; 3712298; 3712360-3712362; 3712370; 3712375; 3712412; 3712414; 3712445-3712448; 3712506; 3712508; 3712769; 3712791; 3712793; 3712795-3712796; 3712803; 3712850; 3712901; 3712903-3712904; 3716-3719</t>
  </si>
  <si>
    <t>LEBANON</t>
  </si>
  <si>
    <t>961</t>
  </si>
  <si>
    <t>LEBANON-MOBILE</t>
  </si>
  <si>
    <t>9613; 96170-96171; 96176; 96178; 961791; 961793; 96181</t>
  </si>
  <si>
    <t>LESOTHO</t>
  </si>
  <si>
    <t>266</t>
  </si>
  <si>
    <t>LESOTHO-MOBILE OTHERS</t>
  </si>
  <si>
    <t>2666</t>
  </si>
  <si>
    <t>LESOTHO-MOBILE VODACOM</t>
  </si>
  <si>
    <t>2665</t>
  </si>
  <si>
    <t>LESOTHO-SPECIAL SVC</t>
  </si>
  <si>
    <t>2669</t>
  </si>
  <si>
    <t>LIBERIA</t>
  </si>
  <si>
    <t>231</t>
  </si>
  <si>
    <t>LIBERIA-MOBILE CELLCOM</t>
  </si>
  <si>
    <t>2317</t>
  </si>
  <si>
    <t>LIBERIA-MOBILE MTN</t>
  </si>
  <si>
    <t>23155; 2316; 23188</t>
  </si>
  <si>
    <t>LIBERIA-MOBILE NOVAFONE</t>
  </si>
  <si>
    <t>2315</t>
  </si>
  <si>
    <t>LIBERIA-MOBILE OTHERS</t>
  </si>
  <si>
    <t>2314</t>
  </si>
  <si>
    <t>LIBERIA-MOBILE TELELINKS</t>
  </si>
  <si>
    <t>2319</t>
  </si>
  <si>
    <t>LIBERIA-PREM SVC</t>
  </si>
  <si>
    <t>2313323-2313324; 23190</t>
  </si>
  <si>
    <t>LIBERIA-PREM SVC TELEMEDIA</t>
  </si>
  <si>
    <t>23133048; 23133058; 23133068</t>
  </si>
  <si>
    <t>LIBERIA-WASSCOM</t>
  </si>
  <si>
    <t>2313322; 2313325</t>
  </si>
  <si>
    <t>LIBYA</t>
  </si>
  <si>
    <t>218</t>
  </si>
  <si>
    <t>LIBYA-MOBILE ALMADAR</t>
  </si>
  <si>
    <t>218911-218919; 21893</t>
  </si>
  <si>
    <t>LIBYA-MOBILE LIBYANA</t>
  </si>
  <si>
    <t>21892; 21894</t>
  </si>
  <si>
    <t>LIBYA-MOBILE OTHERS</t>
  </si>
  <si>
    <t>21891; 21895-21896</t>
  </si>
  <si>
    <t>LIECHTENSTEIN</t>
  </si>
  <si>
    <t>423</t>
  </si>
  <si>
    <t>LIECHTENSTEIN-MOB SWISSCOM FL</t>
  </si>
  <si>
    <t>4236977; 42377</t>
  </si>
  <si>
    <t>LIECHTENSTEIN-MOBILE MOBILKOM</t>
  </si>
  <si>
    <t>423661-423663; 423666; 4236979; 42379</t>
  </si>
  <si>
    <t>LIECHTENSTEIN-MOBILE ORANGE</t>
  </si>
  <si>
    <t>42369736; 42369756; 4236978; 423736; 423756; 42378</t>
  </si>
  <si>
    <t>LIECHTENSTEIN-MOBILE OTHERS</t>
  </si>
  <si>
    <t>4236-4237</t>
  </si>
  <si>
    <t>LITHUANIA</t>
  </si>
  <si>
    <t>370</t>
  </si>
  <si>
    <t>LITHUANIA-FIXED</t>
  </si>
  <si>
    <t>3703-3705</t>
  </si>
  <si>
    <t>LITHUANIA-MOBILE BITE</t>
  </si>
  <si>
    <t>37063; 370640-370644; 370649; 37065; 370660; 37066320; 37066323; 3706653; 370681; 370685; 370689-370690; 37069742-37069743; 370699</t>
  </si>
  <si>
    <t>LITHUANIA-MOBILE OMNITEL</t>
  </si>
  <si>
    <t>37061-37062; 370662-370663; 37066478-37066487; 37066512-37066521; 370680; 370682; 370686-370688; 370692-370696; 370698</t>
  </si>
  <si>
    <t>LITHUANIA-MOBILE OTHERS</t>
  </si>
  <si>
    <t>3706; 37066321; 37066340</t>
  </si>
  <si>
    <t>LITHUANIA-MOBILE TELE2</t>
  </si>
  <si>
    <t>37060; 370645-370648; 3706640; 37066723; 37066725; 3706686; 37066901-37066906; 37067; 370683-370684</t>
  </si>
  <si>
    <t>LITHUANIA-PERSONAL</t>
  </si>
  <si>
    <t>3707-3709</t>
  </si>
  <si>
    <t>LITHUANIA-PREM SVC</t>
  </si>
  <si>
    <t>37066103; 37066186; 37066324-37066329; 37066535; 37066727; 37066740; 37066815-37066816; 37066878; 37066912; 37069119-37069120; 37069123; 37069750; 37069796-37069797; 37070555; 37080206; 37080246; 37080802; 37090200; 37090266; 37090904; 37091000; 3709100119; 370910012-370910020; 3709100210-3709100218; 3709100319; 370910032-370910039; 37091004; 370910050; 3709100510-3709100518; 37091022223-37091022229; 3709102223-3709102229; 370910223-370910231; 3709102320-3709102321; 37091023220-37091023222; 37091089</t>
  </si>
  <si>
    <t>LUXEMBOURG</t>
  </si>
  <si>
    <t>352</t>
  </si>
  <si>
    <t>LUXEMBOURG-MOBILE ELUX</t>
  </si>
  <si>
    <t>352681</t>
  </si>
  <si>
    <t>LUXEMBOURG-MOBILE JOIN</t>
  </si>
  <si>
    <t>352671; 352678</t>
  </si>
  <si>
    <t>LUXEMBOURG-MOBILE OTHERS</t>
  </si>
  <si>
    <t>3526</t>
  </si>
  <si>
    <t>LUXEMBOURG-MOBILE PT LUXGSM</t>
  </si>
  <si>
    <t>3526021; 352621; 352628</t>
  </si>
  <si>
    <t>LUXEMBOURG-MOBILE TANGO</t>
  </si>
  <si>
    <t>352021; 352691</t>
  </si>
  <si>
    <t>LUXEMBOURG-MOBILE VOX</t>
  </si>
  <si>
    <t>3526061; 352661; 352668</t>
  </si>
  <si>
    <t>LUXEMBOURG-SPECIAL SVCS</t>
  </si>
  <si>
    <t>3522062; 3522426; 3522461; 3522624; 3522711; 3522717; 3522723; 3522737; 3522760-3522762; 3522787; 3522826; 3522848; 3522875</t>
  </si>
  <si>
    <t>MACAO</t>
  </si>
  <si>
    <t>853</t>
  </si>
  <si>
    <t>MACAO-MOBILE</t>
  </si>
  <si>
    <t>8536</t>
  </si>
  <si>
    <t>MACEDONIA (FYROM)</t>
  </si>
  <si>
    <t>389</t>
  </si>
  <si>
    <t>MACEDONIA (FYROM)-FIXED COSMOF</t>
  </si>
  <si>
    <t>389252; 3893152; 3893252; 3893352; 3893452; 3894252; 3894352; 3894452; 3894552; 3894652; 3894752; 3894852</t>
  </si>
  <si>
    <t>MACEDONIA (FYROM)-MOBILE PRS</t>
  </si>
  <si>
    <t>3897373</t>
  </si>
  <si>
    <t>MACEDONIA (FYROM)-MOBILE T MOB</t>
  </si>
  <si>
    <t>38970-38972; 3897420; 3897422-3897429; 3897460; 38974747</t>
  </si>
  <si>
    <t>MACEDONIA (FYROM)-MOBILE VIP</t>
  </si>
  <si>
    <t>38973; 38975-38979</t>
  </si>
  <si>
    <t>MADAGASCAR</t>
  </si>
  <si>
    <t>261</t>
  </si>
  <si>
    <t>MADAGASCAR-FIXED TELMA</t>
  </si>
  <si>
    <t>26120</t>
  </si>
  <si>
    <t>MADAGASCAR-MOBILE AIRTEL</t>
  </si>
  <si>
    <t>26133</t>
  </si>
  <si>
    <t>MADAGASCAR-MOBILE ORANGE</t>
  </si>
  <si>
    <t>26132; 26137</t>
  </si>
  <si>
    <t>MADAGASCAR-MOBILE OTHERS</t>
  </si>
  <si>
    <t>2613</t>
  </si>
  <si>
    <t>MADAGASCAR-MOBILE TELMA</t>
  </si>
  <si>
    <t>26134; 26136; 26138</t>
  </si>
  <si>
    <t>MADAGASCAR-SOUTH EAST TELL</t>
  </si>
  <si>
    <t>26120957-26120958</t>
  </si>
  <si>
    <t>MADAGASCAR-SPECIAL SVC</t>
  </si>
  <si>
    <t>261200; 26122</t>
  </si>
  <si>
    <t>MALAWI</t>
  </si>
  <si>
    <t>265</t>
  </si>
  <si>
    <t>MALAWI-MOBILE AIRTEL</t>
  </si>
  <si>
    <t>26598-26599</t>
  </si>
  <si>
    <t>MALAWI-MOBILE OTHERS</t>
  </si>
  <si>
    <t>2658-2659</t>
  </si>
  <si>
    <t>MALAWI-MOBILE TNM</t>
  </si>
  <si>
    <t>26531; 26588</t>
  </si>
  <si>
    <t>MALAYSIA</t>
  </si>
  <si>
    <t>60</t>
  </si>
  <si>
    <t>MALAYSIA-MOBILE CELCOM</t>
  </si>
  <si>
    <t>601030-601034; 601040-601041; 601050-601054; 601057-601059; 601077-601081; 601083-601087; 6011105-6011109; 6011130-6011134; 6011145-6011149; 601115; 6011185-6011189; 601119; 6011205-6011209; 6011245-6011249; 601129; 601132; 601135; 601140-601141; 601152-601156; 6011575-6011579; 6011585-6011589; 6011595-6011599; 6011712-6011721; 6013; 6014400; 60145; 60148; 601592; 6019</t>
  </si>
  <si>
    <t>MALAYSIA-MOBILE DIGI</t>
  </si>
  <si>
    <t>60102; 601036-601039; 601046; 601056; 601066; 601076; 601082; 601088; 601090-601098; 601116; 6011200-6011204; 601122; 601126; 601131; 601133; 601136; 601150-601151; 6011590; 6011646-6011648; 6011692; 6011703-6011711; 60143; 60146; 60149; 601591; 6015960-6015964; 6016</t>
  </si>
  <si>
    <t>MALAYSIA-MOBILE MAXIS</t>
  </si>
  <si>
    <t>601042-601043; 601070-601071; 601089; 601112; 6011140-6011144; 6011175-6011179; 601123; 6011240-6011244; 601125; 6011275-6011279; 6011722-6011726; 6012; 60142; 60147; 6015930; 6017</t>
  </si>
  <si>
    <t>MALAYSIA-MOBILE OTHERS</t>
  </si>
  <si>
    <t>601</t>
  </si>
  <si>
    <t>MALAYSIA-MOBILE UMOBILE</t>
  </si>
  <si>
    <t>601111; 601121; 6011270-6011274; 601128; 601134; 601137-601139; 601142; 6011605-6011609; 601161; 6011620-6011624; 6011636-6011645; 6011676-6011679; 601168; 6011690-6011691; 6011693-6011702; 6011757; 60118886; 60118889; 6018</t>
  </si>
  <si>
    <t>MALDIVE ISLES</t>
  </si>
  <si>
    <t>960</t>
  </si>
  <si>
    <t>MALDIVE ISLES-MOBILE DHIRAAGU</t>
  </si>
  <si>
    <t>9607</t>
  </si>
  <si>
    <t>MALDIVE ISLES-MOBILE OOREDOO</t>
  </si>
  <si>
    <t>960400-960401; 9609</t>
  </si>
  <si>
    <t>MALDIVE ISLES-PREM RATE</t>
  </si>
  <si>
    <t>96071; 9608</t>
  </si>
  <si>
    <t>MALDIVE ISLES-PREM RATE TELEMEDIA</t>
  </si>
  <si>
    <t>9605901; 9609007</t>
  </si>
  <si>
    <t>MALI</t>
  </si>
  <si>
    <t>223</t>
  </si>
  <si>
    <t>MALI-MOBILE ATEL</t>
  </si>
  <si>
    <t>22340; 22342; 2235</t>
  </si>
  <si>
    <t>MALI-MOBILE ORANGE</t>
  </si>
  <si>
    <t>2232001; 223442-223443; 223449; 2237; 22382-22384; 223850-223854; 22390-22394</t>
  </si>
  <si>
    <t>MALI-MOBILE OTHERS</t>
  </si>
  <si>
    <t>2236; 22389; 22395-22399</t>
  </si>
  <si>
    <t>MALI-SOTELMA</t>
  </si>
  <si>
    <t>22320; 22344</t>
  </si>
  <si>
    <t>MALTA</t>
  </si>
  <si>
    <t>356</t>
  </si>
  <si>
    <t>MALTA-MOBILE 3G</t>
  </si>
  <si>
    <t>3564; 35677; 3569811-3569813</t>
  </si>
  <si>
    <t>MALTA-MOBILE GO MOBILE</t>
  </si>
  <si>
    <t>35640079; 3567117; 3567210; 35679; 3569889</t>
  </si>
  <si>
    <t>MALTA-MOBILE VODAFONE</t>
  </si>
  <si>
    <t>35640099; 3568004; 35692; 3569696; 3569897; 35699</t>
  </si>
  <si>
    <t>MARIANA ISLANDS</t>
  </si>
  <si>
    <t>1670</t>
  </si>
  <si>
    <t>MARSHALL ISLANDS</t>
  </si>
  <si>
    <t>692</t>
  </si>
  <si>
    <t>MARTINIQUE</t>
  </si>
  <si>
    <t>596</t>
  </si>
  <si>
    <t>MARTINIQUE-MOBILE DIGICEL</t>
  </si>
  <si>
    <t>59669610-59669611; 59669616-59669619; 59669650-59669654; 5966967; 59669690-59669698; 59669727; 596700701; 5967091</t>
  </si>
  <si>
    <t>MARTINIQUE-MOBILE ONLY</t>
  </si>
  <si>
    <t>5966960; 5966966; 596700700; 59670911</t>
  </si>
  <si>
    <t>MARTINIQUE-MOBILE ORANGE</t>
  </si>
  <si>
    <t>5966962-5966964; 59669655-59669656; 59669680-59669686; 59669699; 596700702; 59670913</t>
  </si>
  <si>
    <t>MARTINIQUE-MOBILE OTHERS</t>
  </si>
  <si>
    <t>596696; 59670910</t>
  </si>
  <si>
    <t>MAURITANIA</t>
  </si>
  <si>
    <t>222</t>
  </si>
  <si>
    <t>MAURITANIA-FIXED CHINGUITEL</t>
  </si>
  <si>
    <t>22225</t>
  </si>
  <si>
    <t>MAURITANIA-MOBILE CHINGUITEL</t>
  </si>
  <si>
    <t>2222</t>
  </si>
  <si>
    <t>MAURITANIA-MOBILE MATTEL</t>
  </si>
  <si>
    <t>2223; 22261-22263; 22266; 22271-22273</t>
  </si>
  <si>
    <t>MAURITANIA-MOBILE MAURITEL</t>
  </si>
  <si>
    <t>2224</t>
  </si>
  <si>
    <t>MAURITIUS</t>
  </si>
  <si>
    <t>230</t>
  </si>
  <si>
    <t>MAURITIUS-MOBILE</t>
  </si>
  <si>
    <t>230525-230526; 230529; 2305421-2305423; 2305428-2305429; 230543-230551; 230553; 23057-23059; 230700-230701; 230703-230707; 230730; 230733</t>
  </si>
  <si>
    <t>MAYOTTE</t>
  </si>
  <si>
    <t>262269; 262939; 262947; 262976</t>
  </si>
  <si>
    <t>MAYOTTE-MOBILE ORANGE</t>
  </si>
  <si>
    <t>26263900-26263902; 26263955-26263964; 26263976-26263979; 26263999; 262700801; 26270937</t>
  </si>
  <si>
    <t>MAYOTTE-MOBILE OTHERS</t>
  </si>
  <si>
    <t>262639</t>
  </si>
  <si>
    <t>MAYOTTE-MOBILE OTM</t>
  </si>
  <si>
    <t>26263903-26263907; 26263919; 26263926; 26263939; 26263971-26263975; 26263994-26263997; 262700808; 26270936</t>
  </si>
  <si>
    <t>MAYOTTE-MOBILE SRR</t>
  </si>
  <si>
    <t>26263909-26263911; 26263920-26263925; 26263927-26263929; 26263940; 26263965-26263969; 262700800; 26270935</t>
  </si>
  <si>
    <t>MEXICO</t>
  </si>
  <si>
    <t>52</t>
  </si>
  <si>
    <t>MEXICO-MOBILE OXIO</t>
  </si>
  <si>
    <t>525652279</t>
  </si>
  <si>
    <t>MICRONESIA</t>
  </si>
  <si>
    <t>691</t>
  </si>
  <si>
    <t>MICRONESIA-MOB</t>
  </si>
  <si>
    <t>691820; 69192-69197</t>
  </si>
  <si>
    <t>MOLDOVA</t>
  </si>
  <si>
    <t>373</t>
  </si>
  <si>
    <t>MOLDOVA-MOBILE MOLDCELL</t>
  </si>
  <si>
    <t>37376; 37378-37379</t>
  </si>
  <si>
    <t>MOLDOVA-MOBILE MOLDTELECOM</t>
  </si>
  <si>
    <t>373671-373679</t>
  </si>
  <si>
    <t>MOLDOVA-MOBILE ORANGE</t>
  </si>
  <si>
    <t>37360; 373610-373612; 373620-373621; 37368-37369</t>
  </si>
  <si>
    <t>MOLDOVA-MOBILE OTHERS</t>
  </si>
  <si>
    <t>37377</t>
  </si>
  <si>
    <t>MOLDOVA-NONGEO</t>
  </si>
  <si>
    <t>37330; 37338</t>
  </si>
  <si>
    <t>MOLDOVA-PRIDNESTROVIE</t>
  </si>
  <si>
    <t>37321; 37353; 37355-37356</t>
  </si>
  <si>
    <t>MONACO</t>
  </si>
  <si>
    <t>377</t>
  </si>
  <si>
    <t>MONACO-MOBILE</t>
  </si>
  <si>
    <t>3773-3774; 3776</t>
  </si>
  <si>
    <t>MONACO-MOBILE KFOR</t>
  </si>
  <si>
    <t>37744</t>
  </si>
  <si>
    <t>MONGOLIA</t>
  </si>
  <si>
    <t>976</t>
  </si>
  <si>
    <t>MONGOLIA-MOBILE</t>
  </si>
  <si>
    <t>97650; 97655; 9766; 9768-9769</t>
  </si>
  <si>
    <t>MONTENEGRO</t>
  </si>
  <si>
    <t>382</t>
  </si>
  <si>
    <t>MONTENEGRO-MOBILE MTEL</t>
  </si>
  <si>
    <t>38260; 38268</t>
  </si>
  <si>
    <t>MONTENEGRO-MOBILE PROMONTE</t>
  </si>
  <si>
    <t>38263; 38269; 38271690</t>
  </si>
  <si>
    <t>MONTENEGRO-MOBILE TMOBILE</t>
  </si>
  <si>
    <t>38266-38267; 38271670-38271672</t>
  </si>
  <si>
    <t>MONTENEGRO-PRS</t>
  </si>
  <si>
    <t>382876; 382878</t>
  </si>
  <si>
    <t>MONTSERRAT</t>
  </si>
  <si>
    <t>1664</t>
  </si>
  <si>
    <t>MONTSERRAT-PREM SVC</t>
  </si>
  <si>
    <t>1664857</t>
  </si>
  <si>
    <t>MOROCCO</t>
  </si>
  <si>
    <t>212</t>
  </si>
  <si>
    <t>MOROCCO-FIXED IAM</t>
  </si>
  <si>
    <t>212522-212524; 212528; 212535-212537; 212539; 212800; 2128010; 2128020; 212808; 2128098-2128099</t>
  </si>
  <si>
    <t>MOROCCO-FIXED WANA</t>
  </si>
  <si>
    <t>212518; 212529; 212538; 212549; 2128081</t>
  </si>
  <si>
    <t>MOROCCO-MOBILE CONNECT (WANA)</t>
  </si>
  <si>
    <t>212526-212527; 212533-212534; 212540; 212546-212547; 212550; 212553</t>
  </si>
  <si>
    <t>MOROCCO-MOBILE IAM</t>
  </si>
  <si>
    <t>212610-212611; 212613; 212615-212616; 212618; 212622-212624; 212628; 212636-212637; 212639; 212641-212643; 212648; 212650-212655; 212658-212659; 212661-212662; 212666-212668; 212670-212673; 212676-212678; 212682; 212689; 212696-212697; 212750-212755; 21276</t>
  </si>
  <si>
    <t>MOROCCO-MOBILE ORANGE</t>
  </si>
  <si>
    <t>2126; 21277-21278</t>
  </si>
  <si>
    <t>MOROCCO-MOBILE OTHERS</t>
  </si>
  <si>
    <t>2126921-2126922; 2126928; 2128920</t>
  </si>
  <si>
    <t>MOROCCO-MOBILE WANA</t>
  </si>
  <si>
    <t>21260; 212626-212627; 212629-212630; 212633-212635; 212638; 212640; 212646-212647; 212680-212681; 212687; 212690; 212695; 212698-212699; 21270-21271; 212720-212728</t>
  </si>
  <si>
    <t>MOROCCO-OTHER</t>
  </si>
  <si>
    <t>212520-212521; 212525; 212530-212532</t>
  </si>
  <si>
    <t>MOZAMBIQUE</t>
  </si>
  <si>
    <t>258</t>
  </si>
  <si>
    <t>MOZAMBIQUE-MOBILE MCEL</t>
  </si>
  <si>
    <t>25882-25883</t>
  </si>
  <si>
    <t>MOZAMBIQUE-MOBILE MOVITEL</t>
  </si>
  <si>
    <t>25886-25888</t>
  </si>
  <si>
    <t>MOZAMBIQUE-MOBILE VODACOM</t>
  </si>
  <si>
    <t>25884-25885</t>
  </si>
  <si>
    <t>MYANMAR</t>
  </si>
  <si>
    <t>95</t>
  </si>
  <si>
    <t>MYANMAR-FIXED MYTEL</t>
  </si>
  <si>
    <t>951470; 952470; 9542480; 9543470; 9545470; 9552470; 9554470; 9557480; 9558470; 9559470; 9563470; 9567470; 9570470; 9571470; 9574470; 9575470; 9581470; 9583470</t>
  </si>
  <si>
    <t>MYANMAR-FIXED OOREDOO</t>
  </si>
  <si>
    <t>951439; 952439; 9567439</t>
  </si>
  <si>
    <t>MYANMAR-MOBILE MPT</t>
  </si>
  <si>
    <t>95920-95926; 95930-95934; 95936; 95939-95945; 95947; 95949-95956; 95959300; 95973; 95981; 95983-95989; 95991</t>
  </si>
  <si>
    <t>MYANMAR-MOBILE MYTEL</t>
  </si>
  <si>
    <t>95965-95969</t>
  </si>
  <si>
    <t>MYANMAR-MOBILE OOREDOO</t>
  </si>
  <si>
    <t>95994-95998</t>
  </si>
  <si>
    <t>MYANMAR-MOBILE OTHERS</t>
  </si>
  <si>
    <t>959</t>
  </si>
  <si>
    <t>MYANMAR-MOBILE TELENOR</t>
  </si>
  <si>
    <t>95974-95979</t>
  </si>
  <si>
    <t>NAMIBIA</t>
  </si>
  <si>
    <t>264</t>
  </si>
  <si>
    <t>NAMIBIA-MOBILE LEO</t>
  </si>
  <si>
    <t>26485</t>
  </si>
  <si>
    <t>NAMIBIA-MOBILE MTC</t>
  </si>
  <si>
    <t>26481</t>
  </si>
  <si>
    <t>NAMIBIA-MOBILE OTHERS</t>
  </si>
  <si>
    <t>26482-26484; 26488-26489</t>
  </si>
  <si>
    <t>NAURU</t>
  </si>
  <si>
    <t>674</t>
  </si>
  <si>
    <t>NAURU-MOBILE DIGICEL</t>
  </si>
  <si>
    <t>674553-674554; 674556-674559</t>
  </si>
  <si>
    <t>NAURU-MOBILE NEOTEL</t>
  </si>
  <si>
    <t>674222; 674888; 674999</t>
  </si>
  <si>
    <t>NEPAL</t>
  </si>
  <si>
    <t>977</t>
  </si>
  <si>
    <t>NEPAL-KATHMANDU</t>
  </si>
  <si>
    <t>9771</t>
  </si>
  <si>
    <t>NEPAL-MOBILE NTC</t>
  </si>
  <si>
    <t>977974-977976; 977984-977986</t>
  </si>
  <si>
    <t>NEPAL-MOBILE OTHERS</t>
  </si>
  <si>
    <t>97796-97798</t>
  </si>
  <si>
    <t>NEPAL-MOBILE SPICE</t>
  </si>
  <si>
    <t>977900; 977970-977971; 977980-977982</t>
  </si>
  <si>
    <t>NETHERLANDS</t>
  </si>
  <si>
    <t>31</t>
  </si>
  <si>
    <t>NETHERLANDS ANTILLES</t>
  </si>
  <si>
    <t>599</t>
  </si>
  <si>
    <t>NETHERLANDS ANTILLES-BONAIRE</t>
  </si>
  <si>
    <t>599715; 599717-599718; 599720; 599725; 599750</t>
  </si>
  <si>
    <t>NETHERLANDS ANTILLES-CUR PRS</t>
  </si>
  <si>
    <t>599603</t>
  </si>
  <si>
    <t>NETHERLANDS ANTILLES-CUR PRS2</t>
  </si>
  <si>
    <t>599604</t>
  </si>
  <si>
    <t>NETHERLANDS ANTILLES-CUR PRS3</t>
  </si>
  <si>
    <t>599605</t>
  </si>
  <si>
    <t>NETHERLANDS ANTILLES-FIXED CUR</t>
  </si>
  <si>
    <t>5999430-5999435; 5999441; 5999444; 599946; 599950; 5999721-5999722; 5999724; 5999730; 5999732-5999739; 5999744-5999749; 5999763; 5999765-5999767; 5999777; 5999787-5999789; 5999833; 5999839; 599984; 599986; 5999870-5999871; 5999885; 5999887-5999889</t>
  </si>
  <si>
    <t>NETHERLANDS ANTILLES-FIXED SAB</t>
  </si>
  <si>
    <t>5994160; 5994162-5994163</t>
  </si>
  <si>
    <t>NETHERLANDS ANTILLES-MOB BN DG</t>
  </si>
  <si>
    <t>599700-599701; 59978</t>
  </si>
  <si>
    <t>NETHERLANDS ANTILLES-MOB BN FL</t>
  </si>
  <si>
    <t>599790; 599795-599796</t>
  </si>
  <si>
    <t>NETHERLANDS ANTILLES-MOB CU DG</t>
  </si>
  <si>
    <t>599965-599969</t>
  </si>
  <si>
    <t>NETHERLANDS ANTILLES-MOB CUR</t>
  </si>
  <si>
    <t>599951-599957; 599961; 5999630-5999631</t>
  </si>
  <si>
    <t>NETHERLANDS ANTILLES-MOB EUTEL</t>
  </si>
  <si>
    <t>5993181; 5993184-5993188; 5993191; 5993194-5993195; 5993197-5993198</t>
  </si>
  <si>
    <t>NETHERLANDS ANTILLES-MOB SAB F</t>
  </si>
  <si>
    <t>5994161; 5994164-5994169</t>
  </si>
  <si>
    <t>NETHERLANDS ANTILLES-MOBILE</t>
  </si>
  <si>
    <t>599770; 599777</t>
  </si>
  <si>
    <t>NETHERLANDS ANTILLES-ST. EUSTA</t>
  </si>
  <si>
    <t>5993180; 5993182-5993183</t>
  </si>
  <si>
    <t>NETHERLANDS-MOBILE KPN</t>
  </si>
  <si>
    <t>31610; 31612-31613; 31620; 31622-31623; 31630; 3163245; 3163531; 31637; 31651; 31653; 3165600; 31657; 3165860-3165861; 316587-316589; 3165921-3165922; 3165924-3165929; 316593; 316598; 3168021-3168022; 31682-31683; 316868; 316888; 319700000; 31970002; 319700100-319700101; 3197002-3197003; 31970068; 31970104; 3197011-3197013; 3197016-3197018; 3197020-3197022; 3197025-3197030; 3197032; 3197035-3197038; 3197044-3197049; 31970500; 3197051-3197054; 3197056-3197057; 3197059; 3197080; 3197090-3197091</t>
  </si>
  <si>
    <t>NETHERLANDS-MOBILE LYCAMOBILE</t>
  </si>
  <si>
    <t>31684-31685; 316860-316864; 31687</t>
  </si>
  <si>
    <t>NETHERLANDS-MOBILE M2M</t>
  </si>
  <si>
    <t>31970</t>
  </si>
  <si>
    <t>NETHERLANDS-MOBILE OTHERS</t>
  </si>
  <si>
    <t>316; 316157; 31970107</t>
  </si>
  <si>
    <t>NETHERLANDS-MOBILE T MOBILE</t>
  </si>
  <si>
    <t>31614; 31618; 3162; 316320-316322; 31634; 31638-31639; 31641-31643; 31648; 316560-316561; 31681; 31970050-31970054; 31970230-31970234</t>
  </si>
  <si>
    <t>NETHERLANDS-MOBILE TELE2</t>
  </si>
  <si>
    <t>31636; 31640; 319708</t>
  </si>
  <si>
    <t>NETHERLANDS-MOBILE TELFORT</t>
  </si>
  <si>
    <t>31616-31617; 31619; 31626; 31633; 31644-31645; 31647; 31649</t>
  </si>
  <si>
    <t>NETHERLANDS-MOBILE VODAFONE</t>
  </si>
  <si>
    <t>31611; 31615; 31621; 31625; 31627; 31629; 31631; 3163510-3163513; 316356-316359; 31646; 31650; 31652; 31654-31655; 316800-316801; 316865-316866; 31970001; 3197001; 3197004; 31970055-31970059; 31970069; 31970109; 3197014; 3197019; 31970235-31970239</t>
  </si>
  <si>
    <t>NEW CALEDONIA</t>
  </si>
  <si>
    <t>687</t>
  </si>
  <si>
    <t>NEW CALEDONIA-MOBILE</t>
  </si>
  <si>
    <t>6875; 6877-6879</t>
  </si>
  <si>
    <t>NEW ZEALAND</t>
  </si>
  <si>
    <t>64</t>
  </si>
  <si>
    <t>NEW ZEALAND-MOBILE 2DEGREES</t>
  </si>
  <si>
    <t>6422; 64266; 64284</t>
  </si>
  <si>
    <t>NEW ZEALAND-MOBILE OTHERS</t>
  </si>
  <si>
    <t>642</t>
  </si>
  <si>
    <t>NEW ZEALAND-MOBILE TELECOM NZ</t>
  </si>
  <si>
    <t>6427</t>
  </si>
  <si>
    <t>NEW ZEALAND-MOBILE VODAFONE</t>
  </si>
  <si>
    <t>6420-6421; 64280; 64282; 64288; 6429</t>
  </si>
  <si>
    <t>NEW ZEALAND-SCOTT BASE</t>
  </si>
  <si>
    <t>64240</t>
  </si>
  <si>
    <t>NICARAGUA</t>
  </si>
  <si>
    <t>505</t>
  </si>
  <si>
    <t>NICARAGUA-MOBILE CLARO</t>
  </si>
  <si>
    <t>505550-505556; 5055570; 50556-50558; 505820-505823; 505833; 505835-505836; 505840-505844; 505849-505854; 505860-505866; 505869-505874; 505882-505885; 505890-505894</t>
  </si>
  <si>
    <t>NICARAGUA-MOBILE MOVISTAR</t>
  </si>
  <si>
    <t>505750-505755; 50576-50578; 50581; 505824-505829; 505832; 505837-505839; 505845-505848; 505855-505859; 505867-505868; 505875-505879; 5058802-5058809; 505881; 505886; 5058871-5058879; 505888; 5058893-5058899; 505895-505899</t>
  </si>
  <si>
    <t>NICARAGUA-MOBILE OTHERS</t>
  </si>
  <si>
    <t>5058</t>
  </si>
  <si>
    <t>NICARAGUA-MOBILE XINWEI</t>
  </si>
  <si>
    <t>505620; 505630; 505633; 505635; 505640; 505644-505645; 505650; 505655; 505677; 50568; 505690; 505695; 505699</t>
  </si>
  <si>
    <t>NIGER</t>
  </si>
  <si>
    <t>227</t>
  </si>
  <si>
    <t>NIGERIA</t>
  </si>
  <si>
    <t>234</t>
  </si>
  <si>
    <t>NIGERIA-FIXED GLOBACOM</t>
  </si>
  <si>
    <t>2341903-2341915; 2342903-2342905; 2343793-2343795; 2343993-2343994; 2345293-2345296; 2345393-2345394; 2345693-2345694; 2346293-2346296; 2346483-2346486; 2346693-2346694; 2346993-2346995; 2348493-2348494; 2349903-2349904</t>
  </si>
  <si>
    <t>NIGERIA-MOBILE AIRTEL</t>
  </si>
  <si>
    <t>234701; 234708; 234802; 234808; 234812; 234901-234902; 234904; 234907; 234911-234912</t>
  </si>
  <si>
    <t>NIGERIA-MOBILE ETISALAT</t>
  </si>
  <si>
    <t>234809; 234817-234818; 234908-234909</t>
  </si>
  <si>
    <t>NIGERIA-MOBILE GLOBACOM</t>
  </si>
  <si>
    <t>234705; 234805; 234807; 234811; 234815; 234905; 234915</t>
  </si>
  <si>
    <t>NIGERIA-MOBILE MTN</t>
  </si>
  <si>
    <t>2347025-2347026; 234703-234704; 234706-234707; 234803; 234806; 234810; 234813-234814; 234816; 234903; 234906; 234913; 234916</t>
  </si>
  <si>
    <t>NIGERIA-MOBILE NTEL</t>
  </si>
  <si>
    <t>2341424; 234804; 2348420; 2349604</t>
  </si>
  <si>
    <t>NIGERIA-MOBILE OTHERS</t>
  </si>
  <si>
    <t>234702</t>
  </si>
  <si>
    <t>NIGER-MOBILE AIRTEL</t>
  </si>
  <si>
    <t>22776-22777; 22786-22789; 22796-22799</t>
  </si>
  <si>
    <t>NIGER-MOBILE MOOV</t>
  </si>
  <si>
    <t>22774-22775; 22784-22785; 22794-22795</t>
  </si>
  <si>
    <t>NIGER-MOBILE ORANGE</t>
  </si>
  <si>
    <t>22770; 22780-22782; 22790-22792</t>
  </si>
  <si>
    <t>NIGER-MOBILE OTHERS</t>
  </si>
  <si>
    <t>22793</t>
  </si>
  <si>
    <t>NIUE</t>
  </si>
  <si>
    <t>683</t>
  </si>
  <si>
    <t>NIUE-MOBILE</t>
  </si>
  <si>
    <t>6832; 6835-6839</t>
  </si>
  <si>
    <t>NORFOLK ISLAND</t>
  </si>
  <si>
    <t>6723</t>
  </si>
  <si>
    <t>NORTH KOREA</t>
  </si>
  <si>
    <t>850</t>
  </si>
  <si>
    <t>NORWAY</t>
  </si>
  <si>
    <t>47</t>
  </si>
  <si>
    <t>NORWAY-FIXED SPECIAL SERVICES</t>
  </si>
  <si>
    <t>470; 471881-471882; 4780; 47810-47815; 4785; 47878-47880</t>
  </si>
  <si>
    <t>NORWAY-MOBILE NETCOM</t>
  </si>
  <si>
    <t>474000-474001; 474010-474014; 47402-47403; 474040; 474045-474050; 474055; 474060-474064; 474067; 47407; 474100-474101; 474106-474107; 474117-474119; 47412-47413; 47450-47452; 474539; 47454; 474550-474551; 474559; 474566-474569; 474576-474579; 474583-474584; 474586; 474591; 474593-474594; 47460; 474621-474627; 47463-47464; 474650; 474654-474665; 474668-474670; 474673-474679; 474698; 474714-474717; 47472-47473; 474744; 474752-474759; 474772-474774; 474777-474779; 474791-474796; 474833-474837; 474840; 474843-474847; 474850; 474860-474868; 474893; 475800040; 475800060; 475800070-475800075; 4758000898-4758000899; 47580009; 4758001200-4758001202; 475902; 475931-475932; 47594; 47598-47599; 479048-479049; 47920; 479210-479217; 47922; 479237; 47924; 479250-479257; 47926; 479277; 47928; 479297-479299; 47930; 479317; 47932; 479337; 47934; 479357; 47936; 479377; 47938; 479391-479399; 479410-479412; 47942; 479442-479443; 479447-479449; 479664-479675; 479680-479688; 479692; 479730-479731; 47978; 479790-479794; 47980-47982; 479830-479837; 47984; 479854; 47986; 479876-479877; 47988; 479899; 479967-479968; 479985-479989</t>
  </si>
  <si>
    <t>NORWAY-MOBILE OTHERS</t>
  </si>
  <si>
    <t>474; 4758-4759; 4786-4789; 479</t>
  </si>
  <si>
    <t>NORWAY-MOBILE TELENOR</t>
  </si>
  <si>
    <t>474004-474009; 474015-474019; 474041-474044; 474084-474089; 4740925-4740929; 474093; 474110-474116; 47414-47417; 474184-474189; 474560-474565; 474570-474575; 474580-474582; 474585; 474587-474589; 474595-474597; 474611-474620; 474628-474629; 474666-474667; 47468; 474690-474696; 474718-474719; 474745-474751; 47476; 474770-474771; 474775-474776; 47478; 474790; 474797-474799; 47480-47482; 474830; 474842; 474848-474849; 474859; 474886; 474888-474889; 474894-474895; 474899; 47580000; 475800020; 4758000210; 47580010; 475905; 475907-475909; 47591-47592; 475944; 47595; 47900-47902; 479030; 479036; 479040-479041; 479047; 47905-47909; 479100; 47911; 479124; 47913; 47915-47918; 479190-479191; 479199; 479390; 479400-479403; 479405; 47941; 479474-479479; 47948; 479490; 479497-479499; 47950-47952; 479530; 479533; 479536; 47954; 479552; 479555; 47957-47959; 479601; 479604; 479609; 479620; 479622-479623; 479650-479651; 479660-479663; 479689-479691; 47970-47971; 479740-479743; 479746-479749; 47975-47977; 479795-479799; 479838-479839; 47985; 47987; 47989-47990; 479910-479912; 479915-479916; 47992-47997; 479980-479984; 47999</t>
  </si>
  <si>
    <t>OMAN</t>
  </si>
  <si>
    <t>968</t>
  </si>
  <si>
    <t>OMAN-MOBILE OOREDOO</t>
  </si>
  <si>
    <t>9681505; 968741; 96878-96879; 96894-96897</t>
  </si>
  <si>
    <t>OMAN-MOBILE OTHERS</t>
  </si>
  <si>
    <t>9687; 9689</t>
  </si>
  <si>
    <t>PAKISTAN</t>
  </si>
  <si>
    <t>92</t>
  </si>
  <si>
    <t>PAKISTAN-MOBILE JAZZ</t>
  </si>
  <si>
    <t>9230; 9232</t>
  </si>
  <si>
    <t>PAKISTAN-MOBILE OTHERS</t>
  </si>
  <si>
    <t>923</t>
  </si>
  <si>
    <t>PAKISTAN-MOBILE TELENOR</t>
  </si>
  <si>
    <t>9234</t>
  </si>
  <si>
    <t>PAKISTAN-MOBILE UFONE</t>
  </si>
  <si>
    <t>9233</t>
  </si>
  <si>
    <t>PAKISTAN-MOBILE ZONG</t>
  </si>
  <si>
    <t>9231; 9237</t>
  </si>
  <si>
    <t>PALAU</t>
  </si>
  <si>
    <t>680</t>
  </si>
  <si>
    <t>PALAU-MOBILE</t>
  </si>
  <si>
    <t>68077; 680780; 680830-680835; 68088</t>
  </si>
  <si>
    <t>PALESTINE</t>
  </si>
  <si>
    <t>970</t>
  </si>
  <si>
    <t>PALESTINE-MOBILE</t>
  </si>
  <si>
    <t>97056; 97059</t>
  </si>
  <si>
    <t>PANAMA</t>
  </si>
  <si>
    <t>507</t>
  </si>
  <si>
    <t>PANAMA-MOBILE C&amp;W</t>
  </si>
  <si>
    <t>507633-507634; 507637; 507650-507655; 507665-507669; 50767; 507680; 507684; 507687-507688; 507690-507691; 507694-507696; 507698-507699</t>
  </si>
  <si>
    <t>PANAMA-MOBILE CLARO</t>
  </si>
  <si>
    <t>507617-507618; 50762; 507630-507632</t>
  </si>
  <si>
    <t>PANAMA-MOBILE MOVISTAR</t>
  </si>
  <si>
    <t>507616; 507635-507636; 507638-507639; 50764; 507656-507664; 507681-507683; 507685-507686; 507689; 507692-507693; 507697</t>
  </si>
  <si>
    <t>PANAMA-MOBILE OTHERS</t>
  </si>
  <si>
    <t>5076</t>
  </si>
  <si>
    <t>PAPUA NEW GUINEA</t>
  </si>
  <si>
    <t>675</t>
  </si>
  <si>
    <t>PAPUA NEW GUINEA-MOBILE BEMOB</t>
  </si>
  <si>
    <t>67575-67578</t>
  </si>
  <si>
    <t>PAPUA NEW GUINEA-MOBILE DIGICL</t>
  </si>
  <si>
    <t>67570-67574; 67579; 67588</t>
  </si>
  <si>
    <t>PAPUA NEW GUINEA-MOBILE DIGIVP</t>
  </si>
  <si>
    <t>675204; 675207; 67581-67584</t>
  </si>
  <si>
    <t>PARAGUAY</t>
  </si>
  <si>
    <t>595</t>
  </si>
  <si>
    <t>PARAGUAY-ASUNCION</t>
  </si>
  <si>
    <t>59521</t>
  </si>
  <si>
    <t>PARAGUAY-MOBILE CLARO</t>
  </si>
  <si>
    <t>59599</t>
  </si>
  <si>
    <t>PARAGUAY-MOBILE OTHERS</t>
  </si>
  <si>
    <t>5959</t>
  </si>
  <si>
    <t>PARAGUAY-MOBILE PERSONAL</t>
  </si>
  <si>
    <t>59597</t>
  </si>
  <si>
    <t>PARAGUAY-MOBILE TIGO</t>
  </si>
  <si>
    <t>59598</t>
  </si>
  <si>
    <t>PARAGUAY-MOBILE VOX</t>
  </si>
  <si>
    <t>595951; 59596</t>
  </si>
  <si>
    <t>PERU</t>
  </si>
  <si>
    <t>51</t>
  </si>
  <si>
    <t>PERU-LIMA</t>
  </si>
  <si>
    <t>511</t>
  </si>
  <si>
    <t>PERU-MOBILE CLARO</t>
  </si>
  <si>
    <t>51913-51914; 519150-519158; 519320-519326; 5193270-5193271; 51940; 519410-519417; 519422-519423; 519427; 519433; 519435; 5194370-5194377; 519440-519443; 519445; 519447; 519466-519467; 5194684-5194689; 519477; 5194805-5194809; 519482-519483; 519487; 5194907-5194909; 519491-519493; 5194970-5194977; 5195011-5195019; 519502-519503; 519507; 519511-519513; 519517; 5195211-5195219; 519523-519524; 5195270-5195272; 519530; 5195311-5195319; 519532-519534; 5195350-5195351; 5195357-5195359; 519537-519538; 519541; 5195420; 5195430; 519547; 519557; 519562-519563; 519567; 519570-519573; 519577; 5195805-5195809; 519581-519583; 5195847-5195849; 519587; 5195895-5195899; 519591; 5195920-5195927; 519593; 519597; 5196004-5196009; 519612-519614; 519617-519618; 519622-519623; 519627; 519630-519634; 5196355-5196359; 519637-519638; 519641-519643; 519651-519655; 519657; 519663; 5196640-5196648; 519667; 519670-519675; 5196760-5196764; 5196767; 519677-519678; 5196792-5196797; 5196821; 5196830-5196835; 519687; 519693; 519697; 519702; 519722-519724; 5197253-5197259; 519727; 519730-519737; 519742-519747; 5197480-5197486; 519762-519763; 519770-519771; 5197820; 519783; 519786-519787; 519793; 519797; 519804-519809; 519820-519825; 5198262-5198267; 5198269; 519827-519828; 5198290-5198297; 5198299; 519830-519833; 519837-519838; 519841-519844; 519847; 51986-51987; 51989; 51991-51993; 519943; 519946-519949; 51997</t>
  </si>
  <si>
    <t>PERU-MOBILE OTHERS</t>
  </si>
  <si>
    <t>519</t>
  </si>
  <si>
    <t>PERU-MOBILE TELEFONICA</t>
  </si>
  <si>
    <t>51920; 519327-519329; 519374-519379; 51938-51939; 519418-519421; 519424-519426; 519428-519432; 519434; 519436; 5194378-5194379; 519438-519439; 519444; 519446; 519448-519449; 51945; 5194680-5194683; 519469-519470; 519474-519476; 519478-519479; 5194800-5194804; 519481; 519484-519486; 519488-519489; 5194900-5194906; 519494-519496; 5194978-5194979; 519498-519500; 519504-519506; 519508-519510; 519514-519516; 519518-519520; 519522; 519525-519526; 5195273-5195279; 519528-519529; 5195352-5195356; 519536; 519539-519540; 5195421-5195429; 5195431-5195439; 519544-519546; 519548-519549; 5195550; 519556; 519558-519561; 519564-519566; 519568-519569; 519574-519576; 519578-519579; 5195800-5195804; 5195840-5195846; 519585-519586; 519588; 5195890-5195894; 519590; 5195928-5195929; 519594-519596; 519598-519599; 519610; 5196110-5196116; 5196118-5196119; 519615-519616; 519619-519621; 519624-519626; 519628-519629; 5196350-5196354; 519636; 5196390-5196395; 5196398-5196399; 519640; 519644-519650; 519656; 519658-519662; 5196649; 519665-519666; 519668-519669; 5196765-5196766; 5196768-5196769; 5196790-5196791; 5196798-5196799; 519680-519681; 5196822-5196829; 5196836-5196839; 519684-519686; 519688-519692; 519694-519696; 519698-519700; 5197090-5197098; 51971; 5197250-5197252; 519726; 519728-519729; 519738-519740; 5197411-5197419; 5197487-5197489; 519749; 51975; 519760-519761; 519764-519769; 5197721-5197729; 519780-519781; 5197822-5197829; 519784-519785; 519788-519792; 519794-519796; 519798-519799; 5198003-5198009; 519801-519803; 519816-519819; 5198260-5198261; 5198268; 5198298; 519836; 519839-519840; 519845-519846; 519848-519849; 51985; 51988; 51990; 519944-519945; 51995-51996; 519980; 519984-519989; 51999</t>
  </si>
  <si>
    <t>PERU-RURAL</t>
  </si>
  <si>
    <t>5110-5111; 5118; 51418; 51428; 51438; 51448; 51518; 51528; 51538; 51548; 51568; 51618; 51628; 51638; 51648; 51658; 51668; 51678; 51728; 517354; 51738; 51748; 51768; 51828; 51838; 51848</t>
  </si>
  <si>
    <t>PHILIPPINES</t>
  </si>
  <si>
    <t>63</t>
  </si>
  <si>
    <t>PHILIPPINES-GLOBE</t>
  </si>
  <si>
    <t>63230-63234; 6327; 6332290-6332294; 6332313-6332321; 6332323-6332324; 6332326-6332329; 6332350; 6332353-6332356; 6332358-6332361; 6332370-6332372; 633240-633243; 633246-633249; 633329-633330; 6333312; 633350-633354; 6333550-6333554; 6333580-6333582; 6334300-6334304; 633470-633474; 6334750-6334755; 6335380-6335381; 633540-633542; 6335430-6335431; 6335435-6335439; 6335480-6335485; 6336300-6336301; 633639; 633650; 6336510-6336518; 633652; 6336530-6336538; 633654; 6336550-6336556; 6338300-6338301; 633850-633853; 6338540-6338547; 6342322-6342329; 6342356-6342359; 634236; 6342370; 6342375-6342379; 634238; 6342560-6342564; 6342574-6342583; 6343233-6343239; 6343271-6343278; 634340; 6343410; 6343412-6343420; 6343422; 6343424-6343425; 6343430-6343432; 6343435-6343439; 634344; 6343450-6343451; 6343453-6343459; 634346-634347; 6343480-6343485; 6343487; 6343489-6343490; 6343980-6343981; 6343983-6343984; 6343986; 6344230-6344237; 6344240-6344246; 6344305-6344309; 634432; 6344330-6344336; 634434-634435; 6345203-6345208; 6345210-6345218; 6345240-6345243; 6345246; 6345248; 634528; 6345290-6345294; 6345300-6345301; 6345304-6345309; 6345320; 6345324-6345326; 634623; 6346240-6346244; 634650-634651; 6346520-6346525; 6346527-6346531; 6346537-6346539; 634654; 6346571-6346574; 6346970-6346975; 634726-634727; 6347280-6347282; 6347300-6347302; 6347304-6347307; 634824; 6348250-6348254; 6348539; 634855; 6348561-6348563; 634925; 6349260-6349264; 6349300-6349304; 6349306-6349310; 6349401; 6352196; 6352201-6352205; 6352215-6352219; 6352225-6352229; 6352235-6352239; 635228-635229; 635240; 6352435-6352438; 635246; 635248; 6352490-6352494; 6353196; 6353260; 6353321-6353323; 6353325; 6353327; 6353331-6353332; 6353334-6353338; 6353341-6353345; 6353364-6353367; 635337; 6353381-6353385; 6353500-6353507; 635352-635359; 6354196; 6354203-6354207; 635421-635423; 6354284; 6354400-6354404; 635441; 635444-635445; 635447; 6354495-6354499; 6355196; 6355251-6355255; 6355261-6355264; 6355271; 6355276; 6355321-6355322; 635550-635551; 6355520-6355523; 635553-635554; 6355550-6355555; 635556-635557; 6355580-6355582; 6356200-6356202; 635624-635626; 6356270-6356274; 635642-635643; 6362301-6362309; 636231; 6362320; 6362335-6362343; 6363215-6363219; 6363300-6363303; 6363401-6363402; 6363440; 6363442-6363444; 6363470-6363472; 6363474; 636349; 6364419-6364420; 6364422-6364424; 6364426-6364428; 6364430; 6364432-6364439; 6364442-6364443; 6364445-6364449; 636445; 6364460-6364464; 6364466-6364467; 6364469-6364470; 6364476; 6364478; 6364480; 6364482-6364489; 6365300-6365306; 6365380-6365381; 6368200-6368207; 6372205-6372206; 637225; 6372260-6372264; 6374244-6374248; 637425-637426; 6374270-6374275; 637428; 6374290-6374294; 6375202-6375207; 637521-637522; 6375230-6375236; 637723-637725; 6377300-6377303; 6378255-6378258; 637826; 637840-637845; 6382196; 6382300-6382308; 6382311; 6382314-6382315; 6382317; 638232-638233; 6382357; 6382359; 6382362-6382365; 6382370-6382372; 638238; 6382391-6382393; 6383300-6383311; 6383314-6383315; 6383317; 6383322; 6383326-6383329; 6383331-6383344; 6383370-6383372; 6384200-6384208; 6384212-6384214; 6384220-6384221; 6384223; 6384225-6384232; 6384239-6384243; 6384246; 6384248; 6384300-6384309; 6384311-6384312; 6385210-6385214; 638530-638531; 6385320; 6385341-6385349; 6386300-6386305; 638631; 6386320-6386328; 638633; 6386340-6386344; 6387201-6387208; 6387212-6387221; 6387223; 6387225; 6387300-6387301; 6387304-6387306; 6387310; 6388220; 6388223-6388225; 6388259-6388268; 6388270; 6388273-6388277; 6388280; 6388286-6388289; 638829-638830; 6388310-6388312; 6388314-6388320; 6388322-6388328; 6388370-6388372; 6388375-6388384; 6388390-6388394</t>
  </si>
  <si>
    <t>PHILIPPINES-MOBILE DITO</t>
  </si>
  <si>
    <t>63896-63898; 63924; 63934; 63944; 63991-63994</t>
  </si>
  <si>
    <t>PHILIPPINES-MOBILE GLOBE</t>
  </si>
  <si>
    <t>63905-63906; 63915-63917; 63926-63927; 63935-63936; 63945; 6395247-6395249; 639525; 6395260-6395265; 6395297-6395299; 63953-63956; 63965-63967; 63975-63977; 63983; 63986-63987; 63995-63997</t>
  </si>
  <si>
    <t>PHILIPPINES-MOBILE OTHERS</t>
  </si>
  <si>
    <t>639</t>
  </si>
  <si>
    <t>PHILIPPINES-MOBILE SMART</t>
  </si>
  <si>
    <t>63907-63910; 63912; 63918-63923; 63925; 63928-63933; 63938-63939; 63942-63943; 63946-63951; 63958; 63960-63964; 63968-63970; 63981; 63985; 63998-63999</t>
  </si>
  <si>
    <t>POLAND</t>
  </si>
  <si>
    <t>48</t>
  </si>
  <si>
    <t>POLAND-MOBILE CENTERNET</t>
  </si>
  <si>
    <t>487200-487207; 487209; 488811</t>
  </si>
  <si>
    <t>POLAND-MOBILE ORANGE</t>
  </si>
  <si>
    <t>482111-482112; 4821134-4821135; 48212; 48214-48215; 48219; 484510-484512; 484515-484516; 48452-48454; 4850-4851; 48571-48573; 486897-486899; 486901-486906; 4869072-4869073; 4869959; 487800-487801; 487805-487806; 4878071-4878079; 487808; 4878091-4878099; 487863-487866; 487868-487869; 48789; 48797-48798; 487990; 487996; 4888444</t>
  </si>
  <si>
    <t>POLAND-MOBILE OTHERS</t>
  </si>
  <si>
    <t>48729; 488844-488845</t>
  </si>
  <si>
    <t>POLAND-MOBILE PLAY (P4)</t>
  </si>
  <si>
    <t>484500-484501; 4845041-4845042; 4845045-4845049; 4845140; 4845545; 4845551-4845552; 4845555-4845559; 484561-484562; 4845645; 4845670-4845671; 4845675-4845679; 4845900-4845904; 4845906-4845908; 4845916; 4845922-4845923; 4845926; 484593; 4845940; 4845943; 4845949; 48530-48531; 48533-48535; 485360-485365; 485367-485369; 48537; 48570; 4857351-4857355; 48574-48578; 485790; 4857940; 4857943-4857945; 4857951-4857952; 4857954-4857957; 4857959; 485796; 4857970-4857975; 48579760-48579764; 4857977; 485798-485799; 486666; 486900; 4869070; 4869074-4869079; 486908-486909; 4869922; 4869951-4869955; 4869958; 4869960; 4869970; 4869974; 4869979; 487208; 4872710; 4872713; 487290-487291; 4872973-4872975; 4872978-4872979; 4872981-4872982; 48730-48733; 487360; 487367-487369; 487373-487379; 487390-487392; 4873930; 4873990; 4873997-4873999; 4878020-4878024; 4878027-4878028; 487804; 4878607-4878608; 487861-487862; 4878677-4878678; 48790-48794; 487950; 487956-487959; 48796; 487991-487995; 487997-487999; 488812-488817; 488830-488832; 488834-488837; 488839-488840; 488843; 488846-488849</t>
  </si>
  <si>
    <t>POLAND-MOBILE PLUS</t>
  </si>
  <si>
    <t>482110; 482114-482118; 48217-48218; 4845020-4845021; 4845142-4845143; 4845145-4845149; 4845191; 484550-484551; 4845520-4845524; 4845540-4845541; 4845544; 4845672-4845674; 4845905; 4845909; 4845925; 4845941; 4845945-4845948; 4845951-4845956; 4845958-4845959; 484597-484599; 485366; 4857350; 4857356; 4857358-4857359; 485791-485793; 4857946-4857947; 4857949-4857950; 4857978-4857979; 48601; 48603; 48605; 48607; 48609; 48661; 48663; 48665; 48667; 48669; 48691; 48693; 48695; 48697; 4869900; 4869902-4869909; 486991-486994; 486996; 4869971-4869973; 4869975-4869977; 486998-486999; 48721-48726; 487270-487271; 487274-487280; 487292-487296; 4872971; 4872976-4872977; 4872980; 4872983-4872989; 487299; 4873221-4873222; 4873247; 487370-487372; 4873931-4873939; 487394-487398; 4873992; 4873994-4873996; 4878025; 4878040; 4878070; 4878090; 48781-48783; 48785; 487860; 4878671-4878676; 487895; 487938; 48885; 48887</t>
  </si>
  <si>
    <t>POLAND-MOBILE T MOBILE (ERA)</t>
  </si>
  <si>
    <t>48532; 48538-48539; 48600; 48602; 48604; 48606; 48608; 48660; 48662; 48664; 486660-486665; 486667-486669; 48668; 48692; 48694; 48696; 48698; 487272-487273; 487281-487289; 48734-48735; 487361-487366; 487803; 48784; 48787-48788; 487951-487955; 48880; 488810; 488818-488819; 48882; 488833; 488838; 488841-488842; 48886; 48888-48889</t>
  </si>
  <si>
    <t>PORTUGAL</t>
  </si>
  <si>
    <t>351</t>
  </si>
  <si>
    <t>PORTUGAL-MOBILE DIGI</t>
  </si>
  <si>
    <t>351609233; 351609283-351609284; 351639233; 351639283-351639284; 351659233; 351659283-351659284; 351669233; 351669283-351669284; 3519233; 3519282-3519284</t>
  </si>
  <si>
    <t>PORTUGAL-MOBILE NOS</t>
  </si>
  <si>
    <t>3511693; 3511893; 351499300; 351609230; 351609235-351609239; 351609290-351609294; 3516093; 351639230; 351639235-351639239; 351639290-351639294; 3516393; 351659230; 351659235-351659239; 351659290-351659294; 3516593; 351669235-351669239; 3519230; 3519235-3519239; 3519290-3519294; 35193</t>
  </si>
  <si>
    <t>PORTUGAL-MOBILE OTHERS</t>
  </si>
  <si>
    <t>3511696; 351499600; 351609; 351639; 351659; 351669; 3519</t>
  </si>
  <si>
    <t>PORTUGAL-MOBILE VODAFONE</t>
  </si>
  <si>
    <t>3511891; 351499100; 3516091; 35160920-35160921; 351609220; 351609231; 3516391; 35163920-35163921; 351639220; 351639231; 3516591; 35165920-35165921; 351659220; 351659231; 35191; 351920-351921; 3519220; 3519231</t>
  </si>
  <si>
    <t>PUERTO RICO</t>
  </si>
  <si>
    <t>1787; 1939</t>
  </si>
  <si>
    <t>QATAR</t>
  </si>
  <si>
    <t>974</t>
  </si>
  <si>
    <t>QATAR-MOBILE OTHERS</t>
  </si>
  <si>
    <t>974124; 97420-97422; 97424-97428; 9743; 9745-9747</t>
  </si>
  <si>
    <t>QATAR-MOBILE VODAFONE</t>
  </si>
  <si>
    <t>97429-97431; 97470-97472; 97474; 97477; 974799</t>
  </si>
  <si>
    <t>REUNION</t>
  </si>
  <si>
    <t>262</t>
  </si>
  <si>
    <t>REUNION-FIXED SRR</t>
  </si>
  <si>
    <t>26226208-26226214; 26226216-26226219; 26226236; 26226263; 26226277; 26226285; 26226288-26226289; 26294792</t>
  </si>
  <si>
    <t>REUNION-FRENCH SOUTHERN</t>
  </si>
  <si>
    <t>26226200</t>
  </si>
  <si>
    <t>REUNION-MOBILE ORANGE</t>
  </si>
  <si>
    <t>2626920; 2626922-2626923; 26269240-26269244; 26269300; 26269306; 26269311; 26269321-26269322; 26269333; 26269339; 26269355; 26269366; 26269377; 26269388; 26269390-26269393; 26269399; 262700901; 26270921</t>
  </si>
  <si>
    <t>REUNION-MOBILE OTHERS</t>
  </si>
  <si>
    <t>262692-262693; 262700909; 26270922</t>
  </si>
  <si>
    <t>REUNION-MOBILE SRR</t>
  </si>
  <si>
    <t>26269206; 2626921; 26269245-26269249; 2626925-2626928; 26269290-26269291; 26269295-26269299; 26269301-26269304; 26269310; 26269313; 26269320; 26269394; 26269397; 262700900; 26270920</t>
  </si>
  <si>
    <t>ROMANIA</t>
  </si>
  <si>
    <t>40</t>
  </si>
  <si>
    <t>ROMANIA-DA</t>
  </si>
  <si>
    <t>40118932</t>
  </si>
  <si>
    <t>ROMANIA-MOBILE DIGI</t>
  </si>
  <si>
    <t>4077</t>
  </si>
  <si>
    <t>ROMANIA-MOBILE ORANGE</t>
  </si>
  <si>
    <t>40640; 40711-40713; 4074-4075; 407830-407833; 407872-407879</t>
  </si>
  <si>
    <t>ROMANIA-MOBILE OTHERS</t>
  </si>
  <si>
    <t>4070</t>
  </si>
  <si>
    <t>ROMANIA-MOBILE TELEMOBILE</t>
  </si>
  <si>
    <t>406000; 4076; 4078</t>
  </si>
  <si>
    <t>ROMANIA-MOBILE VODAFONE</t>
  </si>
  <si>
    <t>40620; 4071-4073; 40790-40799</t>
  </si>
  <si>
    <t>ROMANIA-SPECIAL SVC</t>
  </si>
  <si>
    <t>4033751; 4033851; 4033951; 4034951</t>
  </si>
  <si>
    <t>RUSSIA</t>
  </si>
  <si>
    <t>7</t>
  </si>
  <si>
    <t>RUSSIA-ABKHAZIA</t>
  </si>
  <si>
    <t>7840</t>
  </si>
  <si>
    <t>RUSSIA-FIXED 1</t>
  </si>
  <si>
    <t>7336; 73422; 73432-73433; 73452; 73462; 73492; 73512; 73522; 74712; 74722; 74732; 74742; 74752; 7477; 74812; 74822; 74832; 74842; 74852; 74862; 74872; 74912; 74922; 74932; 74942</t>
  </si>
  <si>
    <t>RUSSIA-FIXED 2</t>
  </si>
  <si>
    <t>7341; 7353; 73812; 73832-73833; 73842; 73852; 73882; 7401; 7471-7475; 7481-7487; 7491-7494; 7496; 7498; 7811; 7813; 7816-7817; 7820; 7831; 7833-7836; 7841-7842; 7844-7848; 7851; 7861-7863; 7865-7867; 7871-7873; 7877-7879</t>
  </si>
  <si>
    <t>RUSSIA-FIXED 3</t>
  </si>
  <si>
    <t>73012; 73022; 7347; 73822; 73902; 73912; 7394; 73952; 78142; 78152; 78212</t>
  </si>
  <si>
    <t>RUSSIA-FIXED 4</t>
  </si>
  <si>
    <t>7342-7343; 7351-7352; 7381; 7383-7385; 7388; 74152; 74162; 74212; 74242; 74262; 7814-7815; 7818; 7821</t>
  </si>
  <si>
    <t>RUSSIA-FIXED 5</t>
  </si>
  <si>
    <t>7301-7302; 7345-7346; 7349; 7365; 7382; 7390-7391; 7395; 7411; 7413; 7415-7416; 7421; 7423-7424; 7426-7427; 7843; 7855-7857; 7869</t>
  </si>
  <si>
    <t>RUSSIA-GLOBALTEL SATELLITE</t>
  </si>
  <si>
    <t>7954</t>
  </si>
  <si>
    <t>RUSSIA-MOBILE ABKHAZIA</t>
  </si>
  <si>
    <t>7940</t>
  </si>
  <si>
    <t>RUSSIA-MOBILE ABKHAZIA AMOBILE</t>
  </si>
  <si>
    <t>79407</t>
  </si>
  <si>
    <t>RUSSIA-MOBILE ABKHAZIA AQUAFON</t>
  </si>
  <si>
    <t>79409</t>
  </si>
  <si>
    <t>RUSSIA-MOBILE BEELINE</t>
  </si>
  <si>
    <t>7900335-7900344; 790205-790207; 790252; 7902553-7902557; 7902559; 7902710; 7902717; 7903; 790462; 7904700-7904707; 7904726-7904727; 7905-7906; 7908364; 7908375-7908379; 7908435-7908439; 790844-790845; 7908460-7908464; 790896-790899; 7909; 7930095; 7933001-7933013; 7933034-7933036; 7950668; 7950880; 795100-795102; 795320-795322; 796; 7980999; 7983888; 7983999; 7986666-7986673; 7994026</t>
  </si>
  <si>
    <t>RUSSIA-MOBILE MEGAFON</t>
  </si>
  <si>
    <t>79004650; 7900900; 79019310-79019313; 790193185-790193189; 790211; 790222; 7902240; 7902249; 790229; 7902320-7902324; 7902327-7902328; 790233; 7902350-7902351; 7902359; 790237; 7902660-7902663; 7902665; 7902714; 7902716; 7902748-7902749; 7902953-7902955; 7902993-7902995; 7904708-7904711; 7904720-7904723; 7904728-7904734; 790474; 7908344-7908345; 7908360-7908363; 7908365-7908369; 7908373-7908374; 790838-790842; 7908430-7908434; 790861-790862; 790884; 7908850-7908851; 792-793; 7950669; 7950881-7950887; 795128; 79582039; 79582978-79582979; 7958431-7958439; 795845; 79585225-79585229; 7958537; 79585395-79585405; 7958541; 7958889; 795889; 79809005-79809006; 799111; 79921109; 799555; 7995830-7995834; 7995850-7995855; 7995935-7995939; 799594-799595; 7995980-7995984; 7996; 7999</t>
  </si>
  <si>
    <t>RUSSIA-MOBILE MTS</t>
  </si>
  <si>
    <t>7901152; 7901260-7901261; 7901415-7901416; 7901418; 7901440-7901442; 7901475-7901476; 7901478; 790181; 7901952; 7901959; 790208; 790220; 7902241-7902243; 7902315-7902319; 790234; 7902352-7902354; 7902712-7902713; 7902746-7902747; 7904724-7904725; 7904735-7904739; 790835; 7908370-7908372; 790852-790853; 790856; 791; 795023; 7950888-7950889; 795093; 7950940-7950944; 795854183-795854185; 7958541860-7958541866; 795880-795882; 7958830-7958834; 7978; 798012-798019; 79802-79803; 798040-798043; 7980445-7980449; 798045-798049; 79805-79808; 7981-7982; 79830-79836; 7984-7985; 79860888; 798615-798619; 7986334-7986339; 798634-798642; 7986430-7986433; 79867; 798681-798687; 7986880; 79869; 7987-7989; 7992110</t>
  </si>
  <si>
    <t>RUSSIA-MOBILE OTHERS</t>
  </si>
  <si>
    <t>79; 7930332; 79335360-79335364; 79335410-79335414; 7933990-7933994; 79967492; 799674980-799674984</t>
  </si>
  <si>
    <t>RUSSIA-MOSCOW</t>
  </si>
  <si>
    <t>7495; 7499</t>
  </si>
  <si>
    <t>RUSSIA-SATELLITE ECO NWK</t>
  </si>
  <si>
    <t>7956</t>
  </si>
  <si>
    <t>RUSSIA-SATELLITE IRIDIUM</t>
  </si>
  <si>
    <t>7954102-7954103; 7954106-7954117; 7954130</t>
  </si>
  <si>
    <t>RUSSIA-ST PETERSBURG</t>
  </si>
  <si>
    <t>7812</t>
  </si>
  <si>
    <t>RWANDA</t>
  </si>
  <si>
    <t>250</t>
  </si>
  <si>
    <t>RWANDA-MOBILE MTN</t>
  </si>
  <si>
    <t>250280; 25078-25079</t>
  </si>
  <si>
    <t>RWANDA-MOBILE OTHERS</t>
  </si>
  <si>
    <t>25072-25073; 25075</t>
  </si>
  <si>
    <t>SAMOA</t>
  </si>
  <si>
    <t>685</t>
  </si>
  <si>
    <t>SAMOA-MOBILE DIGICEL</t>
  </si>
  <si>
    <t>68572-68573; 68577-68578; 68583-68584</t>
  </si>
  <si>
    <t>SAMOA-MOBILE OTHERS</t>
  </si>
  <si>
    <t>6857</t>
  </si>
  <si>
    <t>SAMOA-MOBILE VODAFONE</t>
  </si>
  <si>
    <t>68560; 68571; 68575-68576</t>
  </si>
  <si>
    <t>SAN MARINO</t>
  </si>
  <si>
    <t>378</t>
  </si>
  <si>
    <t>SAN MARINO-CONF SVC</t>
  </si>
  <si>
    <t>3787</t>
  </si>
  <si>
    <t>SAN MARINO-MOBILE</t>
  </si>
  <si>
    <t>37866</t>
  </si>
  <si>
    <t>SAO TOME &amp; PRINCIPE</t>
  </si>
  <si>
    <t>239</t>
  </si>
  <si>
    <t>SAUDI ARABIA</t>
  </si>
  <si>
    <t>966</t>
  </si>
  <si>
    <t>SAUDI ARABIA-MOB MSRN MOBILY</t>
  </si>
  <si>
    <t>9665401; 9665601</t>
  </si>
  <si>
    <t>SAUDI ARABIA-MOB MSRN ZAIN</t>
  </si>
  <si>
    <t>966591886; 966591892-966591898; 966591902-966591904; 966591906-966591908; 966591922-966591928</t>
  </si>
  <si>
    <t>SAUDI ARABIA-MOBILE AIJAWWAL</t>
  </si>
  <si>
    <t>96650; 96653; 96655</t>
  </si>
  <si>
    <t>SAUDI ARABIA-MOBILE BRAVO</t>
  </si>
  <si>
    <t>96651</t>
  </si>
  <si>
    <t>SAUDI ARABIA-MOBILE FNC</t>
  </si>
  <si>
    <t>966574-966575</t>
  </si>
  <si>
    <t>SAUDI ARABIA-MOBILE MOBILY</t>
  </si>
  <si>
    <t>96654; 96656</t>
  </si>
  <si>
    <t>SAUDI ARABIA-MOBILE OTHERS</t>
  </si>
  <si>
    <t>9665</t>
  </si>
  <si>
    <t>SAUDI ARABIA-MOBILE SALAM</t>
  </si>
  <si>
    <t>966510-966511</t>
  </si>
  <si>
    <t>SAUDI ARABIA-MOBILE VIRGIN</t>
  </si>
  <si>
    <t>966570-966572; 9665730-9665734</t>
  </si>
  <si>
    <t>SAUDI ARABIA-MOBILE ZAIN</t>
  </si>
  <si>
    <t>96658-96659; 966959</t>
  </si>
  <si>
    <t>SAUDI ARABIA-OTHERS</t>
  </si>
  <si>
    <t>96611512-96611519; 96612578-96612579; 9661258; 96613512-96613518; 96614512-96614513; 96616512; 96617512; 966920035</t>
  </si>
  <si>
    <t>SENEGAL</t>
  </si>
  <si>
    <t>221</t>
  </si>
  <si>
    <t>SENEGAL-DAKAR</t>
  </si>
  <si>
    <t>221338</t>
  </si>
  <si>
    <t>SENEGAL-FIXED EXPRESSO</t>
  </si>
  <si>
    <t>22130</t>
  </si>
  <si>
    <t>SENEGAL-FIXED HAYO</t>
  </si>
  <si>
    <t>22136</t>
  </si>
  <si>
    <t>SENEGAL-FIXED TIGO</t>
  </si>
  <si>
    <t>22132</t>
  </si>
  <si>
    <t>SENEGAL-MOBILE EXPRESSO</t>
  </si>
  <si>
    <t>22170</t>
  </si>
  <si>
    <t>SENEGAL-MOBILE ORANGE</t>
  </si>
  <si>
    <t>2217100-2217108; 2217500; 2217555; 22177-22178</t>
  </si>
  <si>
    <t>SENEGAL-MOBILE OTHERS</t>
  </si>
  <si>
    <t>22172</t>
  </si>
  <si>
    <t>SENEGAL-MOBILE PROMOBIL</t>
  </si>
  <si>
    <t>2217501; 2217510; 2217525; 2217533; 2217544; 2217550; 2217552; 2217563-2217565; 2217574-2217575; 2217583; 2217590</t>
  </si>
  <si>
    <t>SENEGAL-MOBILE TIGO</t>
  </si>
  <si>
    <t>22176</t>
  </si>
  <si>
    <t>SENEGAL-SPECIAL SVC</t>
  </si>
  <si>
    <t>221721120</t>
  </si>
  <si>
    <t>SERBIA</t>
  </si>
  <si>
    <t>381</t>
  </si>
  <si>
    <t>SERBIA-MOBILE OTHERS</t>
  </si>
  <si>
    <t>381676-381678</t>
  </si>
  <si>
    <t>SERBIA-MOBILE TELEKOM SRBIJA</t>
  </si>
  <si>
    <t>38164-38166</t>
  </si>
  <si>
    <t>SERBIA-MOBILE TELENOR</t>
  </si>
  <si>
    <t>38162-38163; 38169</t>
  </si>
  <si>
    <t>SERBIA-MOBILE VIP</t>
  </si>
  <si>
    <t>38160-38161; 38168</t>
  </si>
  <si>
    <t>SERBIA-ORION TELEKOM</t>
  </si>
  <si>
    <t>3811051; 3811059; 38111410-38111415; 38111421; 38111460; 3811149; 3811241; 3811249; 3811341; 3811349; 3811451; 3811459; 3811561; 3811569; 3811661; 3811669; 3811731; 3811739; 38118310; 3811839; 3811921; 3811929; 3812061; 3812069; 38121310; 381213810; 38121399; 3812281; 3812289; 38123051; 38123059; 3812361; 3812369; 3812421; 38124230-38124231; 3812429; 3812531; 3812539; 3812621; 38126220; 3812629; 3812721; 3812729; 38129310; 3813081; 3813089; 3813161; 3813169; 3813241; 3813249; 3813331; 3813339; 38134210; 3813429; 3813578-3813579; 3813621; 3813629; 3813721; 3813729; 38139310</t>
  </si>
  <si>
    <t>SEYCHELLES</t>
  </si>
  <si>
    <t>248</t>
  </si>
  <si>
    <t>SEYCHELLES-FIXED SVC</t>
  </si>
  <si>
    <t>24842-24844; 24846; 24864</t>
  </si>
  <si>
    <t>SEYCHELLES-MOBILE AIRTEL</t>
  </si>
  <si>
    <t>24827-24828</t>
  </si>
  <si>
    <t>SEYCHELLES-MOBILE CW</t>
  </si>
  <si>
    <t>24825-24826; 24885</t>
  </si>
  <si>
    <t>SEYCHELLES-MOBILE MEDIATECH</t>
  </si>
  <si>
    <t>2489</t>
  </si>
  <si>
    <t>SEYCHELLES-PREM SVC</t>
  </si>
  <si>
    <t>2484206; 24842710; 2486415; 248642</t>
  </si>
  <si>
    <t>SIERRA LEONE</t>
  </si>
  <si>
    <t>232</t>
  </si>
  <si>
    <t>SIERRA LEONE-FREETOWN</t>
  </si>
  <si>
    <t>23222</t>
  </si>
  <si>
    <t>SIERRA LEONE-MOBILE AFRICELL</t>
  </si>
  <si>
    <t>23230; 23233; 23270; 23277; 23280; 23288; 23290; 23299</t>
  </si>
  <si>
    <t>SIERRA LEONE-MOBILE DATATEL</t>
  </si>
  <si>
    <t>23240; 23250</t>
  </si>
  <si>
    <t>SIERRA LEONE-MOBILE ORANGE</t>
  </si>
  <si>
    <t>23272-23276; 23278-23279</t>
  </si>
  <si>
    <t>SIERRA LEONE-MOBILE OTHERS</t>
  </si>
  <si>
    <t>23234-23235</t>
  </si>
  <si>
    <t>SIERRA LEONE-SPECIAL SVCS</t>
  </si>
  <si>
    <t>23221</t>
  </si>
  <si>
    <t>SINGAPORE</t>
  </si>
  <si>
    <t>65</t>
  </si>
  <si>
    <t>SINGAPORE-MOBILE</t>
  </si>
  <si>
    <t>65144; 653154; 653162; 653167-653173; 653176-653177; 658-659</t>
  </si>
  <si>
    <t>SINGAPORE-VOIP</t>
  </si>
  <si>
    <t>653</t>
  </si>
  <si>
    <t>SINT MAARTEN</t>
  </si>
  <si>
    <t>1721</t>
  </si>
  <si>
    <t>SINT MAARTEN-MOBILE</t>
  </si>
  <si>
    <t>1721510; 172152-172153; 172155-172158</t>
  </si>
  <si>
    <t>SINT MAARTEN-PRS1</t>
  </si>
  <si>
    <t>1721603</t>
  </si>
  <si>
    <t>SINT MAARTEN-PRS2</t>
  </si>
  <si>
    <t>1721604</t>
  </si>
  <si>
    <t>SINT MAARTEN-PRS3</t>
  </si>
  <si>
    <t>1721605</t>
  </si>
  <si>
    <t>SLOVAK REPUBLIC</t>
  </si>
  <si>
    <t>421</t>
  </si>
  <si>
    <t>SLOVAK REPUBLIC-MOB TELEFONICA</t>
  </si>
  <si>
    <t>421940; 421944; 421947-421949</t>
  </si>
  <si>
    <t>SLOVAK REPUBLIC-MOBILE ORANGE</t>
  </si>
  <si>
    <t>421905-421908; 421915-421919; 421945</t>
  </si>
  <si>
    <t>SLOVAK REPUBLIC-MOBILE OTHERS</t>
  </si>
  <si>
    <t>421950-421952</t>
  </si>
  <si>
    <t>SLOVAK REPUBLIC-MOBILE T MOBIL</t>
  </si>
  <si>
    <t>421901-421904; 421909-421912; 421914</t>
  </si>
  <si>
    <t>SLOVAK REPUBLIC-VOIP</t>
  </si>
  <si>
    <t>421650; 42169</t>
  </si>
  <si>
    <t>SLOVENIA</t>
  </si>
  <si>
    <t>386</t>
  </si>
  <si>
    <t>SLOVENIA-FIXED OLO</t>
  </si>
  <si>
    <t>38612009; 38612276; 38612278-38612287; 38612350-38612352; 38612355; 38612430; 38612432; 38612926-38612927; 38613087; 3861320; 3861330; 3861400-3861401; 38614440; 38615550-38615551; 38615555; 3861600-3861601; 3861620; 3861777; 38617780; 3861810; 38618280-38618285; 38618888-38618889; 38622364; 38622926-38622928; 3862444; 38625552; 38625555; 3862600; 3862620-3862621; 3862707; 3862820; 38628280-38628282; 38628285; 38628884; 38632278; 38632432; 38632926-38632927; 38635550; 38635555; 3863600; 3863620; 3863777; 38638280-38638285; 3863830; 38638888; 38642075; 38642926-38642928; 38645550; 38645555; 3864600; 3864620; 3864777; 38648280-38648283; 3864840; 38652278; 38652926-38652927; 38655550; 38655553; 38655555; 3865600; 3865620; 3865777; 38658280-38658281; 3865850; 38658888; 386590-386591; 3865920-3865925; 386593-386595; 3865968-3865969; 386597; 38672278; 38672926-38672927; 38675550; 38675555; 3867600; 3867620; 3867777; 38678280-38678281; 3867870; 3868160-3868162; 3868181-3868182; 3868184; 3868188; 3868221-3868222; 3868227-3868229; 3868280-3868282; 3868288; 386833; 386838; 3869804-3869806; 3869809-3869810; 3869812-3869813; 3869815-3869816; 3869818; 3869820; 3869824; 3869826-3869828</t>
  </si>
  <si>
    <t>SLOVENIA-MOBILE MOBITEL</t>
  </si>
  <si>
    <t>38631; 38641; 38651; 3869800</t>
  </si>
  <si>
    <t>SLOVENIA-MOBILE OTHERS</t>
  </si>
  <si>
    <t>3866406; 386641-386645; 3866555-3866556; 3866560; 3866570; 386698; 3869807; 3869814; 3869822-3869823</t>
  </si>
  <si>
    <t>SLOVENIA-MOBILE SIMOBIL</t>
  </si>
  <si>
    <t>38630; 38640; 38668; 386696-386697; 386699; 3869801; 3869803</t>
  </si>
  <si>
    <t>SLOVENIA-MOBILE TELEMACH</t>
  </si>
  <si>
    <t>386651; 38670-38671; 3869802</t>
  </si>
  <si>
    <t>SOLOMON ISLANDS</t>
  </si>
  <si>
    <t>677</t>
  </si>
  <si>
    <t>SOLOMON ISLANDS-MOBILE BEMOBIL</t>
  </si>
  <si>
    <t>6778</t>
  </si>
  <si>
    <t>SOLOMON ISLANDS-MOBILE SATSOL</t>
  </si>
  <si>
    <t>67769</t>
  </si>
  <si>
    <t>SOLOMON ISLANDS-MOBILE TELEKOM</t>
  </si>
  <si>
    <t>6777</t>
  </si>
  <si>
    <t>SOLOMON ISLANDS-SPECIAL SATSOL</t>
  </si>
  <si>
    <t>67768; 677912-677921; 677923-677932</t>
  </si>
  <si>
    <t>SOLOMON ISLANDS-SPECIAL SMILE</t>
  </si>
  <si>
    <t>6779</t>
  </si>
  <si>
    <t>SOMALIA</t>
  </si>
  <si>
    <t>252</t>
  </si>
  <si>
    <t>SOMALIA-HORMUD</t>
  </si>
  <si>
    <t>25211; 25215-25216; 25218; 25234; 25243; 25261; 25268; 25277-25278</t>
  </si>
  <si>
    <t>SOMALIA-MOBILE ASGSM</t>
  </si>
  <si>
    <t>25230</t>
  </si>
  <si>
    <t>SOMALIA-MOBILE GOLIS</t>
  </si>
  <si>
    <t>25260; 25270; 25272; 25290-25291</t>
  </si>
  <si>
    <t>SOMALIA-MOBILE SOMCOM</t>
  </si>
  <si>
    <t>2528</t>
  </si>
  <si>
    <t>SOMALIA-MOBILE TELESOM</t>
  </si>
  <si>
    <t>25224; 25263-25264; 25267; 25273</t>
  </si>
  <si>
    <t>SOMALIA-NATIONLINK</t>
  </si>
  <si>
    <t>25217; 25219; 252227-252228; 25228; 252290-252296; 25256; 25259; 25269</t>
  </si>
  <si>
    <t>SOMALIA-ONKOD SVCS</t>
  </si>
  <si>
    <t>25295; 25299</t>
  </si>
  <si>
    <t>SOMALIA-PRS PHONEGROUP</t>
  </si>
  <si>
    <t>25274</t>
  </si>
  <si>
    <t>SOMALIA-PRS1</t>
  </si>
  <si>
    <t>252601</t>
  </si>
  <si>
    <t>SOMALIA-PRS2</t>
  </si>
  <si>
    <t>2528212</t>
  </si>
  <si>
    <t>SOMALIA-SAHAL</t>
  </si>
  <si>
    <t>25253</t>
  </si>
  <si>
    <t>SOMALIA-SKYTEL</t>
  </si>
  <si>
    <t>25240</t>
  </si>
  <si>
    <t>SOMALIA-SKYTEL SVCS</t>
  </si>
  <si>
    <t>252408</t>
  </si>
  <si>
    <t>SOMALIA-SOLTELCO</t>
  </si>
  <si>
    <t>252820-252825; 252828-252829</t>
  </si>
  <si>
    <t>SOMALIA-SOMALILAND</t>
  </si>
  <si>
    <t>25221; 252297-252299</t>
  </si>
  <si>
    <t>SOMALIA-SOMTEL</t>
  </si>
  <si>
    <t>25262; 25265-25266; 25276</t>
  </si>
  <si>
    <t>SOMALIA-STG BURAO</t>
  </si>
  <si>
    <t>25222</t>
  </si>
  <si>
    <t>SOMALIA-STG GALCOM</t>
  </si>
  <si>
    <t>25254</t>
  </si>
  <si>
    <t>SOMALIA-STG SPECIAL SVC</t>
  </si>
  <si>
    <t>25298</t>
  </si>
  <si>
    <t>SOMALIA-TELCOM SOMALIA</t>
  </si>
  <si>
    <t>25213; 25223; 25233</t>
  </si>
  <si>
    <t>SOMALIA-TELCOM SOMALIA PREM SV</t>
  </si>
  <si>
    <t>252335; 252661</t>
  </si>
  <si>
    <t>SOMALIA-TELCOM XIDIGTEL</t>
  </si>
  <si>
    <t>25212; 25214; 252225; 25235; 25238; 25241; 25244; 25250-25252; 252545</t>
  </si>
  <si>
    <t>SOMALIA-TELESOM</t>
  </si>
  <si>
    <t>25225-25227</t>
  </si>
  <si>
    <t>SOUTH AFRICA</t>
  </si>
  <si>
    <t>27</t>
  </si>
  <si>
    <t>SOUTH AFRICA-CAPETOWN</t>
  </si>
  <si>
    <t>2721</t>
  </si>
  <si>
    <t>SOUTH AFRICA-FIXED VODACOM</t>
  </si>
  <si>
    <t>27104910-27104915; 2710492-2710495; 27104960-27104968; 27104971-27104976; 2710498; 27104990-27104994; 27124080; 2712492; 27124930-27124938; 27124971-27124974; 27134920-27134922; 27134925-27134928; 27134971-27134974; 27144950-27144953; 27144955-27144957; 27154930-27154932; 27154950-27154954; 27154958-27154959; 27164661-27164662; 27164920-27164921; 27174920-27174921; 27184920-27184927; 27214901-27214906; 2721492-2721493; 27214951-27214959; 27224950; 27234920; 27274950; 27284920; 2731492-2731493; 27314971-27314978; 27324920-27324921; 27334920; 27344920; 27354920; 27364920; 27394920; 27404920; 2741492; 27414930-27414932; 27414934-27414936; 27424920; 27434920-27434922; 27434933-27434934; 27444920-27444922; 27454920; 27464920; 27474950-27474951; 27484920; 27494920; 2751492; 27514930-27514934; 27534910; 27534920; 27534923-27534928; 27544950; 27564920-27564921; 27574920-27574921; 27584920-27584921; 27800000650-27800000654; 27800383383; 2786; 2787086-2787088; 2787106; 2787158-2787159; 2787283-2787289; 2787291-2787293; 2787310; 2787562-2787563; 2787756-2787759; 2787761</t>
  </si>
  <si>
    <t>SOUTH AFRICA-FREEPHONE</t>
  </si>
  <si>
    <t>27800</t>
  </si>
  <si>
    <t>SOUTH AFRICA-JOHANNESBURG</t>
  </si>
  <si>
    <t>2711</t>
  </si>
  <si>
    <t>SOUTH AFRICA-MOB WIRELESS CON</t>
  </si>
  <si>
    <t>278190-278192; 27863200; 27874760</t>
  </si>
  <si>
    <t>SOUTH AFRICA-MOBILE CELLC</t>
  </si>
  <si>
    <t>27610-27613; 27615-27619; 2762; 27641-27645; 27650-27654; 2774; 2784</t>
  </si>
  <si>
    <t>SOUTH AFRICA-MOBILE MTN</t>
  </si>
  <si>
    <t>27603-27605; 27630-27635; 27638-27640; 27655-27657; 27686-27690; 27710; 27717-27719; 2773; 2778; 27810; 2783</t>
  </si>
  <si>
    <t>SOUTH AFRICA-MOBILE MTN PREM</t>
  </si>
  <si>
    <t>27801229; 279000-279001; 2790020-2790024; 279602001-279602002; 279603000-279603003</t>
  </si>
  <si>
    <t>SOUTH AFRICA-MOBILE TELKOM</t>
  </si>
  <si>
    <t>27191-27192; 27601-27602; 27614; 27658-27659; 27670-27672; 27676-27685; 27691-27695; 27697-27699; 27750-27754; 27811-27817; 279600000</t>
  </si>
  <si>
    <t>SOUTH AFRICA-MOBILE VODACOM</t>
  </si>
  <si>
    <t>2713492; 2714495; 2715495; 2716492; 2718492; 27214931-27214933; 27324931; 27606-27609; 27636-27637; 27646-27649; 27660-27665; 27673-27675; 27711-27716; 2772; 2776; 277711-277719; 27772-27775; 277760; 2779; 27818; 2782; 27860100001; 27860146243; 27860244820; 27860267435; 27860388872; 27860663274; 27860900500; 27860900900; 27860999500; 27861100013-27861100018; 27861123120; 27861128224; 27861131311; 27861227531; 27861246422; 27861264435; 27861267284; 27861334387; 27861401100-27861401103; 27861401105; 27861568348; 27861601701; 27861693333; 27861735777; 27861951159-27861951160; 279602005-279602007; 279602010-279602011</t>
  </si>
  <si>
    <t>SOUTH AFRICA-NEOTEL</t>
  </si>
  <si>
    <t>2731655; 27701-27705; 27860596687; 27860696277; 27861782732</t>
  </si>
  <si>
    <t>SOUTH AFRICA-PREMIUM SVCS</t>
  </si>
  <si>
    <t>27100011; 27100040-27100044; 27100060-27100063; 27100065-27100068; 27100070-27100074; 27100083; 27100085; 27100090-27100092; 27100100-27100101; 27100105; 27100107-27100109; 27100120; 27100123; 27100125-27100126; 27100150-27100153; 27100155; 2710020; 27100210; 27100215; 27100230-27100240; 2710025-2710026; 27100300-27100304; 27100350; 27100352-27100356; 27100360-27100364; 2710040; 2710045; 2710050; 2710060; 27100650; 27100706; 27100720-27100725; 2710085; 27100880; 27100910; 27101003; 27101008; 2710109; 27101100-27101101; 27101105-27101109; 27101120; 2710120; 27101250; 2710130; 27101330-27101333; 27101360; 27101450; 27101500; 2710157; 27101580-27101584; 27101600-27101601; 27101610; 27101665; 27101708; 27101750; 2710180; 2710185; 27102009; 27102600; 27102615; 27102710; 27102712-27102716; 27102760; 27102850; 27102860-27102861; 27102870; 27103125-27103126; 27103130; 27103200; 27103220; 27103290-27103295; 27103300; 27103350-27103351; 2710344-2710345; 27103460-27103465; 27103500-27103501; 27103503; 27103505; 27103560; 27103925; 27104035; 27104100; 27104105; 2710417; 27104260; 27104300; 271044; 27104500; 27104650; 2710474; 27104750; 2710476; 27104950-27104952; 27104956-27104959; 27104970; 27105010; 27105060; 2710510; 27105160; 27105345-27105349; 27105410; 27105412-27105413; 27105491; 27105550; 2710589; 271059; 2710600; 27106050; 27106120; 27106123-27106124; 27106126; 27106150; 27106300; 27106340-27106345; 271063600; 27106910-27106911; 2710703; 27107300-27107301; 27107440; 2710745-2710746; 2710753; 27107770; 27107860-27107864; 27108001-27108002; 2710822; 27108230-27108238; 2710824; 2710860; 27108650; 27108800-27108808; 2710900; 271097; 27109800; 2711100; 2712000-2712001; 27120020-27120023; 27120050-27120054; 27120060-27120061; 27120065; 27120070-27120071; 27120085; 27120090; 27120092; 27120100-27120101; 27120103; 27120105; 27120125-27120126; 27120150; 27120155; 27120200; 27120210; 27120230-27120234; 27120240; 27120300-27120309; 27120350; 27120360-27120362; 27120450; 2712060; 27120650; 27120706; 27120720-27120726; 27120910; 27121003; 27121100-27121104; 27121110-27121111; 27121117-27121119; 27121235; 27121250; 27121330; 27121360; 27121450; 27121500; 27121510; 27121610; 27121750; 27122475-27122476; 27122710; 27122720; 27122760; 27122850; 27122925; 27123890; 27124100; 27124105; 27124540; 27124550; 27124690; 27124750; 27124760; 27124970; 27125010; 27125100; 27125160; 27125343; 27125550; 27125740; 27125800; 2712586; 27126050; 27126120; 27126300; 2712694; 27127440; 27127770; 27127860-27127861; 27128300; 27128650; 2712880-2712881; 27128820; 2712883; 27128840-27128846; 27128850-27128851; 27129120; 2712940-2712945; 27129460-27129462; 2712947-2712957; 27129800; 2713000-2713002; 27130070-27130071; 27130074-27130078; 27130090; 27130100-27130101; 27130103; 27130130-27130131; 27130150; 27130210; 27130240; 27130360; 27130450; 27130650; 27130706; 27131100-27131105; 27131200-27131204; 27131330; 27131360; 27131500; 27131610; 27131705-27131706; 27131708; 27132020; 27132500; 27132505-27132506; 27132850; 27133010; 27133020; 27133120; 27133290; 27133300; 27133440-27133444; 27133925; 27134035; 27134140; 27134780; 27134970; 27135160; 27135180; 27135410; 2713590-2713592; 27136050; 27136120; 27136285; 27137270; 27137860; 27138540; 27138800; 27139120; 27139403; 27139405-27139409; 2714000-2714002; 27140070; 27140078; 27140085; 27140090; 27140100; 27140130; 27140240; 27140450; 27140500; 27140610; 27140650; 27141120-27141125; 27141330; 27141500; 27141510; 27141610; 27142500; 27142505-27142506; 27142850; 27143020; 27143120; 27143300; 27143440-27143441; 27144035; 27144140; 27144630; 27144690; 27145410; 27145470; 27146120; 27147270; 27147410; 27147530-27147534; 27148540; 27148800; 27149120; 2714940-2714941; 2715000-2715001; 27150070; 27150078; 27150085; 27150090; 27150101; 27150130; 27150210; 27150230-27150231; 27150235; 27150240; 27150300; 27150360; 27150450; 27150500; 27150650; 27151100; 27151510-27151511; 27151610; 27152500; 27152505-27152506; 27152800; 27153240; 27153300; 27153305; 27153440; 27153445; 27154035; 27154140; 27154690; 27154970; 27155410; 27155470; 2715590; 27155910-27155914; 27156050; 27156120; 27156900; 27157410; 2715753; 27157770; 27158800; 27158802-27158804; 27159170; 2716000-2716001; 27160090; 27160101; 27160130; 27160180; 27160230; 27160240; 27160650; 2716100; 27161010-27161014; 27161080; 27161085; 27161100; 27161300-27161304; 27161500; 27161510; 27161610; 27162500; 27162505-27162506; 27162850; 27163020; 27163300; 27163305; 27163440; 27164035; 27164140; 27164665; 27164690; 27165120; 27165140; 27165180; 27168800; 2717001; 27170070; 27170090; 27170130; 27170240; 27170540; 27170650; 27171080; 27171100; 27171230; 27171500; 27171505; 27171610; 27171705; 2717200; 27172500; 27172505-27172506; 27172850; 27173020; 27173300; 27173305; 27173440-27173444; 27174035; 27174140; 27174220; 27174690; 27175180; 27177430; 27178800; 27179120; 2718000-2718001; 27180070; 27180080; 27180090; 27180101; 2718011-2718012; 27180130; 27180140-27180144; 27180240; 27180610; 27180650; 27181000; 271810080-271810085; 27181080; 27181085; 27181100; 27181390; 27181500; 27181610; 27182008; 27182500; 27182505-27182506; 27182800; 27183020; 27183440; 27183560; 27184035; 27184140; 27184970; 27185000; 27185180; 27185230; 27187530; 27188300; 27188800; 27200240; 2721000-2721001; 27210020-27210023; 2721006; 27210070-27210075; 27210080; 27210085; 27210090; 27210092; 27210100-27210101; 27210106-27210107; 27210120; 27210125; 27210150; 27210153; 27210155; 27210200-27210209; 27210230-27210234; 27210240; 27210300; 27210350-27210351; 27210360-27210362; 27210364; 2721040; 27210450-27210451; 27210540-27210544; 2721060; 27210650; 27210706; 27210720; 27210880; 27210910; 27211003-27211006; 2721109; 27211100; 27211105-27211106; 27211110; 2721120; 27211250; 27211260; 27211330; 27211360; 2721137; 27211380; 2721139; 27211450; 27211540; 27211610; 27211665; 27211800-27211804; 2721200-2721207; 27212100; 27212105; 2721212-2721217; 2721219; 27212240; 27212500-27212501; 27212505-27212506; 27212710-27212711; 27212760; 27212762-27212765; 27212770; 27212850; 27212860-27212861; 27212870; 27213300; 27213305; 27213440-27213444; 27213500; 27213505; 27213955; 27214535; 27214540; 27214750; 27214760; 27214900; 27214950; 27214970; 27215010; 27215160; 27215180-27215182; 27215410; 27215650; 2721569; 27215860; 27216050; 27216120; 27216200; 2721719; 27217220; 27217300; 2721741; 27217440; 2721745; 27217530-27217534; 27217700-27217704; 27217730; 27217770; 2721879; 27218910-27218912; 27218950; 27220010-27220011; 27220070; 27220090; 27220200; 27220220; 27220240; 27220650; 2722100; 27221010-27221014; 27221080; 27221085; 27221100; 27221500; 27222200; 27222500; 27222505-27222506; 27222850; 27222890; 27223000-27223003; 27223020; 27223025; 27223300; 27223305; 27224260; 27224690; 27225180; 27226340; 27228800; 2723001; 27230070; 27230080; 27230085; 27230088; 27230090; 27230200; 27230220; 27230240; 27230360; 27230650; 27231000-27231004; 27231080; 27231085; 27231100; 27231110; 27232050; 27232500; 27232505-27232506; 27232850; 27233020; 27233300; 27233305; 27234260; 27234400; 27234405; 27234690; 27234950; 27237530; 27238490; 27238800; 27270070; 27270085; 27270088; 27270090; 27270220; 27270240; 27270245; 2727050; 27270520-27270524; 27270650; 27271080; 27271100; 27271130; 27271500; 27271505; 27272500; 27272505-27272506; 27272850; 27273020; 27273300; 27273305; 27274035; 27274260; 27274690; 27274700-27274702; 27274780; 27278800; 27280010-27280012; 27280070; 27280075; 27280085; 27280088; 27280090; 27280220; 27280240; 27280500-27280504; 27280520; 27280540; 27280650; 27281080; 27281100; 27281500; 27282050; 27282500; 27282505-27282506; 27282760; 27282850; 27283020; 27283300; 27283305; 27283500; 27284260; 27284690; 27284950; 27285150; 27285550; 27287530; 27288800; 2731000-2731001; 27310020-27310023; 27310060-27310065; 27310070; 27310075; 27310083; 27310090; 27310092; 27310100-27310101; 27310107; 27310120; 27310125; 27310150; 27310155; 27310200-27310204; 27310230-27310232; 27310235; 27310240; 27310280; 27310300-27310301; 27310350-27310351; 27310360-27310362; 2731040; 27310450; 27310550-27310554; 2731060; 27310650; 27310706; 27310720; 27310880; 27310910; 27310920; 27311013; 27311080; 2731109; 27311100; 27311105; 27311110; 27311200; 27311250; 27311360; 27311450; 27311500; 27311610; 27311710; 27312475-27312476; 27312850; 27312860-27312861; 27312900; 27312905; 2731296; 27313300; 27313310-27313311; 27313440-27313442; 27313500-27313505; 27313550; 27313890; 27313925; 27313930; 2731396; 27314100; 27314105; 27314400; 27314535; 27314539; 27314750; 27314760; 27314930; 27314970; 27315010; 27315160; 27315210; 27315230; 27315550; 27315890; 27316050; 27316120; 27316300; 27316480; 2731694; 27317270; 27317300; 27317440; 27317870-27317871; 27318540; 27318650; 2731880; 27318810; 2731940-2731945; 2731960-2731965; 27319800; 2732000-2732001; 27320030; 27320070; 27320085; 27320090; 27320240; 27320245; 27320320; 27320610; 27321085; 27321500; 27322500; 27322505-27322506; 27323000; 27323020; 27323300; 27323305; 27324260; 27325570; 27325740; 27326480; 27328800; 27328860-27328864; 2732940; 2733001; 27330070; 27330085; 27330090; 27330100; 27330125; 27330155; 27330235; 27330240; 27330320-27330325; 27330500; 27331080; 27331085; 27331330; 27331500; 27331610; 27332050; 27332430; 27332475-27332476; 27333020; 27333320; 27333500; 27334010; 27334035; 27334260; 27334690; 27335550; 27336480; 27337530; 27337860; 27338800; 2733940; 2734001; 27340070; 27340085; 27340090; 27340240; 27340320; 27340620; 27340650; 27341080; 27341085-27341086; 27341500; 27342010; 27342050; 27342500; 27342505-27342506; 27342850; 27343020; 27343300; 27343305; 27344260; 27344300; 27344690; 27348800; 27349400-27349404; 2735001; 27350070; 27350085; 27350090; 27350240; 27350320; 27350650; 27350680; 27351080; 27351500-27351501; 27351505; 27351610; 27352430; 27352510; 27352515-27352516; 27352850; 27353020; 27353500; 27353560; 27354260; 27354690; 27355140; 27356280; 27358800; 27359400-27359404; 27360070; 27360090; 27360240; 27360320; 27360325; 27360870; 27361080; 27361085; 27361500; 27361610; 27362500; 27362505-27362506; 27363020; 27363300; 27363305; 27363470; 27363479; 27364260; 27364690; 27364780-27364781; 27365140; 27367860; 27368800; 27369400-27369404; 2736941; 2739001; 27390070; 27390075; 27390085; 27390090; 27390101; 27390240; 27390320; 27391080; 27391500; 27392000; 27392009; 27392050; 27393020; 27393220; 27393300; 27393305; 27393500; 27393505-27393506; 27394260; 27394690; 27398800; 2739940; 27399410-27399414; 27400050; 27400060; 27400090; 27400095; 27400240; 27400540; 27401080; 27401500; 27401610; 27402500; 27402505-27402506; 27403020; 27403300; 27403305; 27404035; 27404140; 27404690; 27404780; 27404921; 2740555; 27408800; 27408805; 2740940; 2741000-2741001; 27410060-27410064; 27410070; 27410085; 27410090; 27410092; 27410100-27410101; 27410105; 27410110; 27410125; 27410150; 27410160; 27410200; 27410230; 27410240; 27410360; 27410450; 2741050; 27410650; 27410706; 27410720; 27410910; 27411000; 27411100-27411102; 27411105; 27411110-27411111; 27411250; 27411330; 27411450; 27411610; 27411800-27411804; 27412050; 27412500; 27412505-27412506; 27412600; 27412710; 27413290; 27413300; 27413440; 27413845; 27414100; 27414355; 27414370; 2741450; 27414750; 27414760; 27415160; 2741517-2741519; 27415230; 27415410; 27415520; 27415550; 27416120; 27416300; 27417540; 27417770; 27417860; 27418650; 27418800-27418802; 27420070; 27420085; 27420090; 27420110; 27420240; 27420420; 27420540; 27420650; 27421080; 27421085; 274213300-274213304; 27421500; 27422050; 27422500; 27422505-27422506; 27423020; 27423300; 27423305; 27424140; 27424690; 27424780; 27428800; 2742940; 27430010-27430011; 27430070; 27430085; 27430090; 27430101; 27430110; 27430125; 27430230; 27430240; 27430505-27430509; 2743051; 27430540; 27430650; 27431080; 27431085; 27431100; 27431110; 27431200-27431202; 27431250; 274313300-274313304; 27431610; 27432500; 27432505-27432506; 27432850; 27432890; 27433020; 27433300; 27434035; 27434140; 27434220; 27434690; 2743555; 27436280; 27437530; 27438800; 27439120; 2744001; 27440070; 27440085; 27440090; 27440100-27440101; 27440110; 27440125; 27440200; 27440230; 27440240; 2744050; 27440510-27440514; 27440650; 27440720; 27440910; 27440930; 27441080; 27441085; 27441100; 27441105; 27441500; 27441660; 27442200-27442204; 27442500; 27442505-27442506; 27442715; 27442850; 27443000; 27443120; 2744330; 27444035; 27444140; 27444690; 27444950; 27445140; 27445180-27445181; 27446300; 27447410; 27447860; 27448100-27448101; 27448107; 27448680; 2745001; 27450070; 27450085; 27450090; 27450100; 27450110; 27450240; 27450500-27450504; 27450510-27450514; 27451080; 27451085; 27451500; 27452050; 27452210; 27452500; 27452505-27452506; 27453020; 27453300; 27453305; 27454035; 27454140; 27454690; 27454990; 27455140; 2745555; 27457860; 27458800; 2746001; 27460090; 27460110; 27460240; 27460890; 27461080; 27461500-27461501; 27461505; 27462500; 27462505-27462506; 27463020; 27463300; 27463305; 27463309; 27464140; 27464690; 27465080; 27465180; 2746555; 27468800; 2746940; 27470085; 27470088; 27470090; 27470095; 27470110; 27470240; 27470500-27470504; 27470650; 27471000-27471003; 27471080; 27471085; 27471100; 27471105; 27471109; 27471500; 27472170; 27472500; 27472505-27472506; 27472850; 27473020; 27473300; 27473305; 27474035; 27474140; 27474690; 27474780; 2747554; 27477530; 27477763; 27478790; 27478800; 2748001; 27480090; 27480095; 27480240; 27480540; 27481080; 27481099; 27481500; 27481505; 27482500; 27482505-27482506; 27483020; 27483300; 27483305; 27484140; 27484690; 27484960; 27487530; 27488800; 27489400; 27490090; 27490095; 27490110; 27490240; 27490249; 27490540; 27491080; 27491500; 27492500; 27492505-27492506; 27493020; 27493300; 27493305; 27494140; 27494690; 27494780; 27494990; 27495550; 27497530; 27498800; 27499400-27499404; 2751000-2751001; 27510070; 27510085; 27510088; 27510090; 27510092; 27510100-27510101; 27510105; 2751011; 27510125; 2751013-2751014; 27510150; 27510160; 2751017; 27510230; 27510240; 27510300; 27510360; 27510451; 27510650; 27510706; 27510720; 27510910; 27511080; 27511100-27511102; 27511105; 27511110-27511111; 27511115; 27511250; 27511330; 27511360; 27511450; 27511610; 27512105; 27512280; 27512300; 27512475-27512476; 27512500-27512504; 27512710; 27512850; 27513300; 27513440; 27513470; 27513500; 27513505; 27513925; 27514150; 27514635; 27514690; 27514750; 27514760; 27514970; 27515010; 27515100; 27515550; 27516050; 27516300; 27517440; 27517770; 27517780; 27517860; 27517930; 27518650; 27518800; 27519120; 2753001; 27530070; 27530085; 27530090; 27530101; 27530125; 27530240; 27530300; 27530450; 27530455; 2753050; 27530650; 27531080; 27531085; 27531100; 27531500; 27531510; 27531610; 27532150; 27532440; 27532500; 27532505-27532506; 27532850; 27532860; 27533020; 27533290; 27533300; 27533440; 27534020; 27534035; 27534100; 27534250; 27534690; 27534780-27534784; 27535550; 27537530; 27538800; 27539120; 27540085; 27540090; 27540101; 27540240; 27540300; 2754050; 27540650; 27541080; 27541085; 27541099-27541100; 27541500; 27542010; 27542050; 27542500; 27542505-27542506; 27542850; 27543020; 27543250; 27543500; 27543560; 27544020; 27544035; 27544690; 27544780-27544781; 27545550; 27547330; 27548800; 27560085; 27560090; 27560095; 27560240; 27560300; 2756050; 27561080; 27561085; 27561100; 27561500; 27561610; 27562240; 27562500; 27562505-27562506; 27563020; 27563029; 27563300; 27563305; 27564020; 27564035; 27564690; 27564780; 27565550; 27567530; 27568800; 2757001; 27570070; 27570085; 27570090; 27570240; 27570300; 2757050; 27570650; 27571080; 27571085; 27571090; 27571100; 27571500; 27571610; 27572050; 27572500; 27572505-27572506; 27572850; 27573020; 27573120; 27573300; 27573305; 27574020; 27574035; 27574390; 27574690; 27575550; 27576300; 27577530; 27578800; 2758001; 27580085; 27580090; 27580230; 27580240; 27580300; 27580305; 2758050; 27581080; 27581090; 27581100; 27581610; 27581800-27581804; 27582470; 27582500; 27582505-27582506; 27583240; 27583300; 27583305; 27584020; 27584035; 27584690; 27585345; 27585550; 27587410; 27588800; 27589220; 27696; 2777; 27800009434; 27800056629; 278000602; 278000610; 27800123566; 278001273-278001275; 278001278-278001279; 27800266272; 27800289227; 27800686387; 27800692835; 27800722722; 27800733537; 27800786648; 2785300-2785301; 2785500; 27860001004-27860001005; 27860002032; 27860002084; 27860002125; 27860002160; 27860002375; 27860002437-27860002439; 27860002452; 27860002479; 27860002503; 27860002543; 27860002672; 27860002682; 27860002726; 27860002826; 27860002886; 27860003084; 27860003278; 27860003453; 27860003620; 27860003785; 27860004084; 27860004101-27860004102; 27860004104; 27860004120-27860004121; 27860005520; 27860005964; 27860007686; 27860014561; 278600156; 278600239; 27860024361; 27860024872; 27860028729; 278600294; 278600322; 27860035338; 278600425; 27860046247; 27860055200; 27860056629; 278600610; 27860076621; 27860076629; 27860077272; 27860078744; 27860122237; 27860131445; 278601445-278601449; 278601480-278601483; 27860163271; 27860163273; 27860218758; 27860227447; 27860227568; 27860245124; 27860255336; 27860262266; 27860266272; 27860272638; 27860273340; 27860274266; 27860287463; 27860306090; 27860322487; 27860335487; 27860338000; 27860347331; 27860347783; 27860347835; 27860354913; 27860358125; 27860368324; 27860374625; 27860378283; 2786037890; 27860404408; 27860427336; 27860436528; 27860438493; 27860448377; 27860459529; 27860474793; 27860522627; 27860527847; 27860534257; 27860552000; 27860552465; 27860572572; 27860585862; 27860586472; 27860623367; 27860636669; 27860638764; 27860649290-27860649294; 27860651831; 27860663342; 2786066870; 27860672643; 27860685154; 27860686387; 27860692835; 27860734263; 27860762237; 27860762667; 2786076660-2786076662; 2786076664-2786076666; 2786076668-2786076672; 2786076674-2786076675; 2786076678-2786076679; 2786076690-2786076696; 2786076698-2786076699; 2786076701-2786076709; 2786076720-2786076723; 2786076725-2786076727; 27860768265; 27860786493; 27860786724; 27860786739; 27860794647; 27860822538; 27860839400; 27860862860; 27860901001; 27860924837; 27860925541-27860925545; 27860946637; 27860987228; 278609950-278609953; 27861001048; 27861001056; 27861001061-27861001062; 27861001070; 27861001072; 27861001080; 27861001113; 27861001125; 27861001127; 2786100140-2786100146; 2786100148; 2786100152-2786100153; 27861003558; 278610051; 27861005520; 27861005964; 27861006284-27861006286; 27861006288-27861006289; 27861006667; 2786101340; 27861024387; 27861033259; 27861037522; 27861037783; 27861042387; 27861046247; 27861055200; 27861056629; 27861078744; 27861090124; 27861112382; 27861115558; 27861118647; 27861119715; 27861123549; 27861130456; 27861133667; 278611417; 27861172793; 27861175425; 27861186483; 27861199494; 27861200004; 27861227568; 27861232276; 27861233911; 27861237224; 27861254649; 27861266272; 27861266332; 27861269764; 27861272360-27861272361; 27861275738; 27861278662; 27861336749; 27861339668; 27861346273; 27861346819; 27861347257; 27861357272; 27861362467; 27861362522; 27861365327; 278613659; 27861368243; 27861368324; 278613701-278613702; 27861386348; 27861387269; 27861426234; 2786142871; 27861433661; 27861438493; 27861459529; 27861472658; 27861474793; 27861522362; 27861529648; 27861533437; 27861552465; 27861562694; 27861566328; 27861624562; 27861638764; 27861652826; 27861686387; 27861692835; 27861707800; 27861727232; 27861736767; 27861746932; 27861762646; 27861764764; 27861769380; 27861773477; 27861776787; 27861786493; 27861786739; 27861794647; 2786180011; 27861846652; 27861847271; 27861872339; 27861874474; 27861877233; 27861885352; 27861929725; 27861929729; 27861936739; 27861967574; 27861987228; 27861998998; 2786199901-2786199910; 2786199930-2786199931; 2786199938; 2786199951-2786199954; 2786199956; 2786199958-2786199961; 2786199964-2786199965; 2786199967-2786199971; 27862800; 2786328600; 2786368763; 27869990; 2787; 27960210000</t>
  </si>
  <si>
    <t>SOUTH AFRICA-VAS</t>
  </si>
  <si>
    <t>2710001; 2710003; 27100050-27100056; 27100075; 27100095-27100096; 27100130-27100134; 27100545-27100549; 27100552-27100559; 2710056; 27101000; 2710132; 2710140-2710143; 2710500; 2710502-2710503; 27105411; 2710610; 27108000; 2711568; 2712003-2712004; 27120072-27120076; 2712051; 27120545-27120549; 27121400-27121403; 2712141; 27121420; 27125344-27125345; 2712610; 2713004; 27130072; 27130079; 27131010-27131014; 27131400; 27134660; 27138801-27138802; 2714004; 27140071; 27140079; 27141010; 27141400; 27141530; 27144660; 2715004; 27150079; 27151010-27151014; 27151400; 27154660; 27158801; 2716004; 27161400; 27161501; 27164660; 27170040; 27170071-27170072; 27174660; 27180040; 27181400-27181405; 27184580; 27201-27205; 2721003; 27210130-27210134; 27210455-27210459; 27210545-27210549; 27211000; 2721140-2721141; 2721300-2721301; 2721610; 27217535-27217539; 27220040; 27221250; 27224660; 2723004; 27234660; 27270040; 27274660; 27280040; 27281250; 27284660; 2731003; 27310076-27310077; 27310130-27310134; 27310545-27310549; 2731100; 2731140; 27311420; 2731610; 27320040; 27324660; 2733004; 27331010; 27331410; 27334660; 27340040; 27344660; 27350040; 27350071; 27351410; 27354660; 27360040; 27360072; 27364660; 27390040; 27391010; 27394660; 27400040; 27401010; 2741004; 2741030; 27410545-27410549; 27411010-27411014; 27411420; 2742004; 27420071; 27424660; 2743001; 2743004; 27430500-27430504; 27431010; 27431020-27431022; 27431400; 27434660; 2744004; 27441410; 27443330; 27444660; 27447780; 27450040; 27451010; 27454660; 27460040; 27464660; 27470040; 27471010; 27474660; 27480040; 27484660; 27490040; 27491250; 27494660; 2751004; 27510071-27510072; 27510545-27510549; 27511010-27511014; 2751140; 27511420; 2753004; 27531410; 27534660; 27540040; 27541410; 27544660; 27560040; 27560071; 27564660; 27570040; 27571010; 27571410; 27574660; 27580040; 27584660; 27588010; 278000430; 2780005520; 278001729; 2785001-2785005; 27860002001; 2786001800-2786001804; 278600181-278600185; 2786001900-2786001904; 27860032451; 27860032677; 27860032835; 27860056467; 27860057247; 27860062936; 27860072872; 27860073429; 27860082302; 27860086658; 27860123602; 27860224356; 27860232977; 27860325475; 27860367383; 27860476276; 27860506064; 27860918915; 27860919774; 27860932580; 27860935568; 27861332837; 27861367937; 27861445465; 27861467058; 27861784248; 27861937367; 278619950-278619952; 27870010; 27871800-27871801; 2787330; 278735-278736; 2787370-2787376</t>
  </si>
  <si>
    <t>SOUTH KOREA</t>
  </si>
  <si>
    <t>82</t>
  </si>
  <si>
    <t>SOUTH KOREA-DACOM</t>
  </si>
  <si>
    <t>821544</t>
  </si>
  <si>
    <t>SOUTH KOREA-IP PHONE</t>
  </si>
  <si>
    <t>827</t>
  </si>
  <si>
    <t>SOUTH KOREA-KT</t>
  </si>
  <si>
    <t>821391; 821566; 821577; 821588</t>
  </si>
  <si>
    <t>SOUTH KOREA-MOBILE OTHERS</t>
  </si>
  <si>
    <t>8201; 821</t>
  </si>
  <si>
    <t>SOUTH KOREA-MOBILE SK</t>
  </si>
  <si>
    <t>821000; 821020; 821031; 821035-821038; 821040-821041; 821045-821050; 821052-821054; 821062-821064; 821071; 821085-821094; 8211; 8217</t>
  </si>
  <si>
    <t>SOUTH SUDAN</t>
  </si>
  <si>
    <t>211</t>
  </si>
  <si>
    <t>SOUTH SUDAN-MOBILE MTN</t>
  </si>
  <si>
    <t>21192</t>
  </si>
  <si>
    <t>SOUTH SUDAN-MOBILE ZAIN</t>
  </si>
  <si>
    <t>21191</t>
  </si>
  <si>
    <t>SPAIN</t>
  </si>
  <si>
    <t>34</t>
  </si>
  <si>
    <t>SPAIN-DOMESTIC FREEPHONE</t>
  </si>
  <si>
    <t>34800; 34900</t>
  </si>
  <si>
    <t>SPAIN-MOBILE DIGI</t>
  </si>
  <si>
    <t>346048-346049; 346141-346143; 34624; 34641-34643</t>
  </si>
  <si>
    <t>SPAIN-MOBILE LYCAMOBILE</t>
  </si>
  <si>
    <t>346020-346021; 346023; 346028; 346122; 346124-346125; 34631-34632</t>
  </si>
  <si>
    <t>SPAIN-MOBILE M2M</t>
  </si>
  <si>
    <t>34590100-34590102; 34590200; 34590590; 34590600; 34590622; 34590656; 34590698; 34590743; 34590909</t>
  </si>
  <si>
    <t>SPAIN-MOBILE MOVISTAR</t>
  </si>
  <si>
    <t>346044; 34606; 34608-34609; 34616; 34618-34620; 346211-346212; 346214; 346216; 34626; 34628-34630; 346345; 34636; 34638-34639; 34646; 34648-34650; 34659-34660; 34669; 34676; 34679-34680; 346810-346815; 34682-34683; 346840-346843; 346845-346846; 34686; 346889; 34689-34690; 346940; 34696; 34699; 347110; 347170; 347177</t>
  </si>
  <si>
    <t>SPAIN-MOBILE ORANGE</t>
  </si>
  <si>
    <t>346016; 346018-346019; 346022; 346029; 346045; 34605; 346110; 346120-346121; 34615; 346210; 346213; 346236; 34625; 34635; 34640; 34644-34645; 34651-34658; 34665; 346681; 346685; 34675; 346816; 346844; 346847; 34685; 34688; 34691-34693; 346942; 346944-346946; 34695; 346980; 346982-346988; 347444; 347446; 347477-347478</t>
  </si>
  <si>
    <t>SPAIN-MOBILE OTHERS</t>
  </si>
  <si>
    <t>346-347</t>
  </si>
  <si>
    <t>SPAIN-MOBILE VODAFONE</t>
  </si>
  <si>
    <t>34600; 346010-346015; 346017; 34603; 34607; 34610; 346111; 346114-346119; 346140; 34617; 34627; 34634; 34637; 34647; 34661-34664; 34666-34667; 34670-34674; 34677-34678; 346818-346819; 34687; 34697; 346989; 347111; 347117; 347171; 347277</t>
  </si>
  <si>
    <t>SPAIN-MOBILE YOIGO</t>
  </si>
  <si>
    <t>346024-346027; 346031-346033; 346039; 346041-346043; 346112-346113; 34613; 34622; 346230-346235; 346237-346239; 34633; 346340-346341; 346343; 346725; 346728-346729; 347221-347228; 347443; 347445; 347448-347449</t>
  </si>
  <si>
    <t>SPAIN-PREMIUM SVCS</t>
  </si>
  <si>
    <t>3470; 34902; 34904</t>
  </si>
  <si>
    <t>SPAIN-SHARED COST IP NR</t>
  </si>
  <si>
    <t>3451; 34901</t>
  </si>
  <si>
    <t>SRI LANKA</t>
  </si>
  <si>
    <t>94</t>
  </si>
  <si>
    <t>SRI LANKA-DIALOG BROADBAND</t>
  </si>
  <si>
    <t>94114; 94117; 94214; 94217; 94234; 94237; 94244; 94247; 94254; 94257; 94264; 94267; 94274; 94277; 94314; 94317; 94324; 94327; 94334; 94337; 94344; 94347; 94354; 94357; 94364; 94367; 94374; 94377; 94384; 94387; 94414; 94417; 94454; 94457; 94474; 94477; 94514; 94517; 94524; 94527; 94544; 94547; 94554; 94557; 94574; 94577; 94634; 94637; 94654; 94657; 94664; 94667; 94674; 94677; 94814; 94817; 94914; 94917</t>
  </si>
  <si>
    <t>SRI LANKA-LANKA BELL</t>
  </si>
  <si>
    <t>94115; 94215; 94235; 94245; 94255; 94265; 94275; 94315; 94325; 94335; 94345; 94355; 94365; 94375; 94385; 94415; 94455; 94475; 94515; 94525; 94545; 94555; 94575; 94635; 94655; 94665; 94675; 94815; 94915</t>
  </si>
  <si>
    <t>SRI LANKA-MOBILE AIRTEL</t>
  </si>
  <si>
    <t>9475</t>
  </si>
  <si>
    <t>SRI LANKA-MOBILE HUTCHISON</t>
  </si>
  <si>
    <t>9478</t>
  </si>
  <si>
    <t>SRI LANKA-MOBILE MOBITEL</t>
  </si>
  <si>
    <t>94701-94707; 9471</t>
  </si>
  <si>
    <t>SRI LANKA-MOBILE MTN DIALOG</t>
  </si>
  <si>
    <t>9474; 9476-9477</t>
  </si>
  <si>
    <t>SRI LANKA-MOBILE OTHERS</t>
  </si>
  <si>
    <t>947</t>
  </si>
  <si>
    <t>SRI LANKA-MOBILE TIGO</t>
  </si>
  <si>
    <t>9472</t>
  </si>
  <si>
    <t>SRI LANKA-TELECOM</t>
  </si>
  <si>
    <t>94112-94113; 9419733; 94212-94213; 94232-94233; 94242-94243; 94252-94253; 94262-94263; 94272-94273; 94312-94313; 94322-94323; 94332-94333; 94342-94343; 94352-94353; 94362-94363; 94372-94373; 94382-94383; 94412-94413; 94452-94453; 94472-94473; 94512-94513; 94522-94523; 94542-94543; 94552-94553; 94572-94573; 94632-94633; 94652-94653; 94662-94663; 94672-94673; 94812-94813; 94912-94913</t>
  </si>
  <si>
    <t>ST HELENA</t>
  </si>
  <si>
    <t>290</t>
  </si>
  <si>
    <t>ST KITTS &amp; NEVIS</t>
  </si>
  <si>
    <t>1869</t>
  </si>
  <si>
    <t>ST KITTS &amp; NEVIS-MOB DIGI</t>
  </si>
  <si>
    <t>1869760; 1869762-1869767</t>
  </si>
  <si>
    <t>ST KITTS &amp; NEVIS-MOBILE OTHERS</t>
  </si>
  <si>
    <t>1869556-1869558; 1869566-1869567; 1869660-1869665; 1869667-1869669</t>
  </si>
  <si>
    <t>ST LUCIA</t>
  </si>
  <si>
    <t>1758</t>
  </si>
  <si>
    <t>ST LUCIA-MOBILE DIGICEL</t>
  </si>
  <si>
    <t>1758518-1758520; 1758712-1758719; 175872; 1758730-1758733; 1758812</t>
  </si>
  <si>
    <t>ST LUCIA-MOBILE OTHERS</t>
  </si>
  <si>
    <t>1758284-1758287; 1758384; 1758460-1758461; 1758481-1758482; 1758484-1758489; 1758584; 1758638; 1758784-1758785</t>
  </si>
  <si>
    <t>ST PIERRE &amp; MIQUELON</t>
  </si>
  <si>
    <t>508</t>
  </si>
  <si>
    <t>ST PIERRE &amp; MIQUELON-MOB GLOBA</t>
  </si>
  <si>
    <t>5084-5085</t>
  </si>
  <si>
    <t>ST PIERRE &amp; MIQUELON-MOB OTHER</t>
  </si>
  <si>
    <t>50855</t>
  </si>
  <si>
    <t>ST VINCENT &amp; GRENADINES</t>
  </si>
  <si>
    <t>1784</t>
  </si>
  <si>
    <t>ST VINCENT &amp; GRENADINES-MOB DG</t>
  </si>
  <si>
    <t>1784430-1784435; 1784526-1784534; 1784720</t>
  </si>
  <si>
    <t>ST VINCENT &amp; GRENADINES-MOB OT</t>
  </si>
  <si>
    <t>1784454-1784455; 1784491-1784498; 1784593</t>
  </si>
  <si>
    <t>SUDAN</t>
  </si>
  <si>
    <t>249</t>
  </si>
  <si>
    <t>SUDAN-MOBILE MTN</t>
  </si>
  <si>
    <t>24992-24993; 24999</t>
  </si>
  <si>
    <t>SUDAN-MOBILE OTHERS</t>
  </si>
  <si>
    <t>2499</t>
  </si>
  <si>
    <t>SUDAN-MOBILE SUDANI</t>
  </si>
  <si>
    <t>24910-24912</t>
  </si>
  <si>
    <t>SUDAN-MOBILE ZAIN</t>
  </si>
  <si>
    <t>24990-24991; 24996</t>
  </si>
  <si>
    <t>SURINAM</t>
  </si>
  <si>
    <t>597</t>
  </si>
  <si>
    <t xml:space="preserve">SURINAM-MOB TELESUR </t>
  </si>
  <si>
    <t>59773; 59784-59789</t>
  </si>
  <si>
    <t>SURINAM-MOBILE DIGICEL</t>
  </si>
  <si>
    <t>59771-59772; 59774; 59776; 59781-59782</t>
  </si>
  <si>
    <t>SURINAM-PREM SVC</t>
  </si>
  <si>
    <t>59759000-59759001; 597590020-597590024</t>
  </si>
  <si>
    <t>SURINAM-PREM SVC2</t>
  </si>
  <si>
    <t>597590025-597590029; 59759003-59759004</t>
  </si>
  <si>
    <t>SURINAM-PREM SVC3</t>
  </si>
  <si>
    <t>59759005-59759009</t>
  </si>
  <si>
    <t>SWAZILAND</t>
  </si>
  <si>
    <t>268</t>
  </si>
  <si>
    <t>SWAZILAND-MOBILE MTN</t>
  </si>
  <si>
    <t>268325-268327; 268335; 268337; 268345-268347; 268355-268357; 26876-26878</t>
  </si>
  <si>
    <t>SWAZILAND-MOBILE OTHERS</t>
  </si>
  <si>
    <t>268320-268324; 268330-268334; 268340-268344; 268350-268354; 2686; 26875; 26879</t>
  </si>
  <si>
    <t>SWEDEN</t>
  </si>
  <si>
    <t>46</t>
  </si>
  <si>
    <t>SWEDEN-FREEPHONE</t>
  </si>
  <si>
    <t>4620</t>
  </si>
  <si>
    <t>SWEDEN-MOBILE COMVIQ</t>
  </si>
  <si>
    <t>46252; 46254; 46700; 467015-467016; 46701788; 46704; 46707; 467190000; 4671912; 467200-467204; 4672083-4672085; 4672149; 46722; 467234404; 467234407; 46726004-46726005; 46726009; 467275004; 467275006; 467275055; 4672752; 467283-467287; 467290-467294; 4673120; 4673171; 467321-467322; 4673454; 4673460-4673461; 467355-467359; 46736-46737; 4673866-4673868; 467387; 467389; 46739; 46760; 46762; 467640-467642; 4676470-4676477; 46764940; 467649410-467649414; 4676495-4676496; 46765; 467665; 4676667; 467668; 4676695-4676699; 467670-467671; 4676720-4676725; 467672673; 467690-467694; 46790</t>
  </si>
  <si>
    <t>SWEDEN-MOBILE HI3G</t>
  </si>
  <si>
    <t>46675; 467230-467233; 467242-467243; 467350-467354; 467600-467604; 467616-467619; 46763; 467930-467934; 467950-467954; 467999</t>
  </si>
  <si>
    <t>SWEDEN-MOBILE OTHER</t>
  </si>
  <si>
    <t>46676; 4670-4673; 46755; 4676; 4679</t>
  </si>
  <si>
    <t>SWEDEN-MOBILE TELENOR NEW</t>
  </si>
  <si>
    <t>461026; 466747; 467011; 467014; 46701970-46701976; 46701990-46701999; 46708-46709; 467100000; 467190001-467190005; 467190007-467190009; 467190011-467190013; 467190019; 467191001-467191002; 467191004-467191005; 467191007; 46719101; 4672059; 4672082; 4672087-4672088; 46720898; 467212-467213; 467215-467219; 4672342; 46723442-46723443; 46723445-46723447; 46723461; 46723466; 46723491; 467235-467239; 46724000; 46724006-46724007; 4672409; 467244; 467260003; 46726002; 46726007-46726008; 46726425-46726427; 4672643-4672644; 4672646-4672647; 467265; 4672660; 4672666-4672667; 467267-467268; 4672691; 4672694-4672697; 46727508; 46727513-46727514; 46727518-46727519; 4672754; 467276-467279; 46728103-46728109; 46728191; 46728193-46728197; 467282; 467288; 467296-467299; 467310; 4673125-4673126; 4673128; 467314-467316; 467319-467320; 467323-467326; 467328; 46733; 467340-467344; 4673450; 4673457-4673458; 467346; 4673471-4673472; 4673475-4673479; 467348-467349; 467385-467386; 467388; 467615; 467635-467637; 467643-467645; 4676460-4676464; 467660-467664; 4676664; 4676666; 4676668; 4676727; 467674-467675; 467685-467689; 467695-467699; 4679005; 467914022; 46791405; 4679559; 4679588; 467997</t>
  </si>
  <si>
    <t>SWEDEN-MOBILE TELIA MOBILE</t>
  </si>
  <si>
    <t>46376; 46518-46519; 46673; 467010; 467012-467013; 467017-467018; 4670190-4670191; 4670193; 4670198; 46702-46703; 46705-46706; 467190; 4671910060; 467191010; 467205005; 46720502-46720507; 46720509; 4672055-4672056; 46720582-46720586; 467206-467207; 46720801-46720803; 46720806-46720808; 46720893-46720896; 467209009; 46720902; 46720908; 4672092; 467210-467211; 467220-467224; 46723401; 46723404-46723407; 4672341; 4672347-4672348; 46724008; 4672401-4672404; 4672406-4672407; 467245-467249; 46725; 46726006; 4672601; 46726996; 467270-467274; 467280; 46728198; 467289; 46730; 467311-467313; 4673170; 4673173-4673175; 467318; 467327; 467329; 4673456; 46734747; 467380-467384; 46738641; 467524; 46756; 467610-467614; 467638; 4676492; 46766696-46766698; 467667; 467673; 467676-467684; 4679006; 467910; 4679142-4679143; 4679585</t>
  </si>
  <si>
    <t>SWEDEN-PAGING</t>
  </si>
  <si>
    <t>4674</t>
  </si>
  <si>
    <t>SWEDEN-PERSONAL NR</t>
  </si>
  <si>
    <t>4675</t>
  </si>
  <si>
    <t>SWEDEN-SHARED COSTS</t>
  </si>
  <si>
    <t>4677</t>
  </si>
  <si>
    <t>SWITZERLAND</t>
  </si>
  <si>
    <t>41</t>
  </si>
  <si>
    <t>SWITZERLAND-CORPORATE ACCESS</t>
  </si>
  <si>
    <t>4158</t>
  </si>
  <si>
    <t>SWITZERLAND-DOMESTIC FREEPHONE</t>
  </si>
  <si>
    <t>41800</t>
  </si>
  <si>
    <t>SWITZERLAND-FIXED VM</t>
  </si>
  <si>
    <t>41860</t>
  </si>
  <si>
    <t>SWITZERLAND-MOBILE BEBBICEL</t>
  </si>
  <si>
    <t>4179977-4179979; 4186074279; 4186079977-4186079979</t>
  </si>
  <si>
    <t>SWITZERLAND-MOBILE CABLECOM</t>
  </si>
  <si>
    <t>417840-417842; 418607840-418607842</t>
  </si>
  <si>
    <t>SWITZERLAND-MOBILE LYCAMOBILE</t>
  </si>
  <si>
    <t>41779; 41860779</t>
  </si>
  <si>
    <t>SWITZERLAND-MOBILE ORANGE</t>
  </si>
  <si>
    <t>4178; 4186078</t>
  </si>
  <si>
    <t>SWITZERLAND-MOBILE OTHERS</t>
  </si>
  <si>
    <t>417780-417781; 418607780-418607781</t>
  </si>
  <si>
    <t>SWITZERLAND-MOBILE PAGER</t>
  </si>
  <si>
    <t>4174</t>
  </si>
  <si>
    <t>SWITZERLAND-MOBILE SUNRISE</t>
  </si>
  <si>
    <t>4176; 41772; 4177316; 4186076; 41860772; 418607731</t>
  </si>
  <si>
    <t>SWITZERLAND-MOBILE SWISSCOM</t>
  </si>
  <si>
    <t>4168200; 4169200; 4172200; 4173200; 41750; 417510; 417512-417513; 417515; 417517; 417519; 41752-41754; 417550-417557; 41756-41757; 41770-41771; 41774-41775; 4179; 4186075; 4186077; 4186079</t>
  </si>
  <si>
    <t>SWITZERLAND-SPECIAL SVCS</t>
  </si>
  <si>
    <t>4184; 4187; 4190</t>
  </si>
  <si>
    <t>SYRIA</t>
  </si>
  <si>
    <t>963</t>
  </si>
  <si>
    <t>SYRIA-MOBILE</t>
  </si>
  <si>
    <t>9639</t>
  </si>
  <si>
    <t>TAIWAN</t>
  </si>
  <si>
    <t>886</t>
  </si>
  <si>
    <t>TAIWAN-DOMESTIC TOLLFREE</t>
  </si>
  <si>
    <t>886800</t>
  </si>
  <si>
    <t>TAIWAN-MOBILE</t>
  </si>
  <si>
    <t>8869</t>
  </si>
  <si>
    <t>TAIWAN-MOBILE CHUNGHWA</t>
  </si>
  <si>
    <t>886400010-886400012; 8869006-8869009; 886905; 886910-886912; 886919; 886921; 886928; 886932-886933; 8869340-8869344; 886937; 886963; 8869650-8869658; 8869664-8869667; 886972; 8869740-8869741; 886975; 886978; 8869842-8869843; 886988</t>
  </si>
  <si>
    <t>TAIWAN-MOBILE FAR EASTONE</t>
  </si>
  <si>
    <t>8869000-8869005; 886903; 886913; 886915-886917; 886925-886927; 886930; 8869310-8869313; 886936; 886938; 8869540-8869541; 886955; 8869605-8869609; 8869620; 8869668-8869673; 8869680-8869681; 8869742-8869743; 886976; 886981; 8869840-8869841; 886989</t>
  </si>
  <si>
    <t>TAIWAN-MOBILE TAIWAN MOBILE</t>
  </si>
  <si>
    <t>8869010-8869014; 886909; 8869140-8869142; 886918; 886920; 886922-886923; 8869240-8869241; 886929; 8869314-8869319; 886935; 886939; 886952-886953; 886956; 886958; 8869600-8869604; 8869610-8869615; 8869660-8869663; 886970; 8869710-8869711; 8869744-8869745; 886979; 886983; 8869844-8869845; 886987</t>
  </si>
  <si>
    <t>TAIWAN-MOBILE VIBO</t>
  </si>
  <si>
    <t>8869020-8869026; 886908; 8869686-8869689; 8869712-8869718; 886973; 8869846-8869847; 886986</t>
  </si>
  <si>
    <t>TAJIKISTAN</t>
  </si>
  <si>
    <t>992</t>
  </si>
  <si>
    <t>TAJIKISTAN-LEASED NET</t>
  </si>
  <si>
    <t>99242-99249</t>
  </si>
  <si>
    <t>TAJIKISTAN-MOBILE BABILON</t>
  </si>
  <si>
    <t>99217; 99271; 99275; 992918; 99294; 99298</t>
  </si>
  <si>
    <t>TAJIKISTAN-MOBILE INDIGO</t>
  </si>
  <si>
    <t>99210-99211; 99220; 99230; 99250; 99270; 99277; 99292-99293; 99299</t>
  </si>
  <si>
    <t>TAJIKISTAN-MOBILE OTHERS</t>
  </si>
  <si>
    <t>9929</t>
  </si>
  <si>
    <t>TAJIKISTAN-MOBILE TACOM</t>
  </si>
  <si>
    <t>99203-99206; 99208-99209; 992330; 992333-992339; 99238; 99240; 992440; 992442-992444; 992447; 992449; 99266; 99280-99281; 992910-992917; 992919</t>
  </si>
  <si>
    <t>TAJIKISTAN-MOBILE TK</t>
  </si>
  <si>
    <t>99237231-99237232; 99237236; 99237238; 99295</t>
  </si>
  <si>
    <t>TAJIKISTAN-MOBILE TT</t>
  </si>
  <si>
    <t>99200-99202; 99207; 99241; 99255; 99278; 99287-99288; 99290; 99297</t>
  </si>
  <si>
    <t>TANZANIA</t>
  </si>
  <si>
    <t>255</t>
  </si>
  <si>
    <t>TANZANIA-DAR ES SALAM</t>
  </si>
  <si>
    <t>25522</t>
  </si>
  <si>
    <t>TANZANIA-MOBILE AIRTEL</t>
  </si>
  <si>
    <t>25568-25569; 25578</t>
  </si>
  <si>
    <t>TANZANIA-MOBILE OTHERS</t>
  </si>
  <si>
    <t>25541</t>
  </si>
  <si>
    <t>TANZANIA-MOBILE SMILE</t>
  </si>
  <si>
    <t>25566</t>
  </si>
  <si>
    <t>TANZANIA-MOBILE TIGO</t>
  </si>
  <si>
    <t>25565; 25567; 25571</t>
  </si>
  <si>
    <t>TANZANIA-MOBILE TTCL</t>
  </si>
  <si>
    <t>25573</t>
  </si>
  <si>
    <t>TANZANIA-MOBILE VODACOM</t>
  </si>
  <si>
    <t>25574-25576</t>
  </si>
  <si>
    <t>TANZANIA-MOBILE ZANTEL</t>
  </si>
  <si>
    <t>25577</t>
  </si>
  <si>
    <t>TANZANIA-PREM SVC</t>
  </si>
  <si>
    <t>255232; 255252; 255262; 255272; 255282</t>
  </si>
  <si>
    <t>TANZANIA-SPECIAL SVC</t>
  </si>
  <si>
    <t>2554117; 255901135-255901136; 255901139</t>
  </si>
  <si>
    <t>THAILAND</t>
  </si>
  <si>
    <t>66</t>
  </si>
  <si>
    <t>THAILAND-MOBILE AWN</t>
  </si>
  <si>
    <t>6661018-6661021; 6661023-6661032; 6661034-6661043; 6661045-6661054; 6661056-6661065; 6661067-6661076; 6661078-6661087; 6661089-6661098; 6661101-6661109; 666111; 6661120-6661121; 6661123-6661132; 6661134-6661143; 6661145-6661154; 6661156-6661165; 6661167-6661176; 6661178-6661187; 6661189-6661198; 6661201-6661210; 6661212-6661219; 666122; 6661230-6661232; 6661234-6661243; 6661245-6661254; 6661256-6661265; 6661267-6661276; 6661278-6661287; 6661289-6661298; 6661301-6661310; 6661312-6661321; 6661323-6661329; 666133; 6661340-6661343; 6661345-6661354; 6661356-6661365; 6661367-6661376; 6661378-6661387; 6661389-6661398; 6661401-6661410; 6661412-6661421; 6661423-6661432; 6661434-6661439; 666144-666145; 6661460-6661465; 6661467-6661476; 6661478-6661487; 6661489; 666149; 6661501-6661510; 6661512-6661521; 6661523-6661532; 6661534-6661543; 6661545-6661549; 666155; 6661560-6661565; 6661567-6661576; 6661578-6661587; 6661589-6661598; 6661601-6661610; 6661612-6661621; 6661623-6661632; 6661634-6661643; 6661645-6661654; 6661656-6661659; 666166; 6661670-6661676; 6661678-6661683; 6662101-6662109; 666211; 6662120-6662121; 6662123-6662132; 6662134-6662143; 6662145-6662154; 6662156-6662165; 6662167-6662176; 6662178-6662187; 6662189; 666219; 6662201-6662210; 6662212-6662219; 666222; 6662230-6662232; 6662234-6662243; 6662245-6662254; 6662256-6662265; 6662267-6662276; 6662278-6662287; 6662289-6662298; 6662301-6662310; 6662312-6662321; 6662323-6662329; 666233; 6662340-6662343; 6662345-6662354; 6662356-6662365; 6662367-6662376; 6662378-6662387; 6662389; 666239; 6662401-6662410; 6662412-6662421; 6662423-6662432; 6662434-6662439; 666244-666245; 6662460-6662465; 6662467-6662476; 6662478-6662487; 6662489-6662498; 6662501-6662510; 6662512-6662521; 6662523-6662532; 6662534-6662543; 6662545-6662549; 666255; 6662560-6662565; 6662567-6662576; 6662578-6662587; 6662589-6662598; 6662601-6662610; 6662612-6662613; 6662983-6662987; 6662989; 666299-666300; 6663010; 6663012-6663021; 6663023-6663032; 6663034-6663043; 6663045-6663054; 6663056-6663065; 6663067-6663076; 6663078-6663087; 6663089-6663098; 6663101-6663109; 666311; 6663120-6663121; 6663123-6663132; 6663134-6663143; 6663145-6663154; 6663156-6663165; 6663167-6663176; 6663178-6663187; 6663189-6663198; 6663201-6663210; 6663212-6663219; 666322; 6663230-6663232; 6663234-6663243; 6663245-6663254; 6663256-6663265; 6663267-6663273; 6663555; 6663573-6663576; 6663578-6663587; 6663589-6663598; 6663601-6663610; 6663612-6663621; 6663623-6663632; 6663634-6663643; 6663645-6663654; 6663656-6663659; 666366; 6663670-6663676; 6663678-6663687; 6664930-6664932; 6664934-6664943; 6664945-6664954; 6664956-6664965; 6664967-6664976; 6664978-6664987; 6664989; 666499-666500; 6665010; 6665012-6665021; 6665023-6665032; 6665034-6665043; 6665045-6665049; 666505; 6665060-6665065; 6665067-6665076; 6665078-6665087; 6665089; 666509; 6665101-6665109; 666511; 6665120-6665121; 6665123; 6665236-6665243; 6665245-6665254; 6665256-6665265; 6665267-6665276; 6665278-6665287; 6665289-6665298; 6665301-6665310; 6665312-6665321; 6665323-6665329; 666533; 6665340-6665343; 6665345-6665354; 6665356-6665365; 6665367-6665376; 6665378-6665387; 6665389-6665398; 6665401-6665410; 6665412-6665421; 6665423-6665432; 6665434-6665439; 666544-666546; 6665470-6665476; 6665478-6665487; 6665489-6665498; 6665501-6665510; 6665512-6665521; 6665523-6665532; 6665534-6665543; 6665545-6665549; 666555; 6665560-6665565; 6665567-6665576; 6665578-6665587; 6665589-6665598; 6665601-6665610; 6665612-6665621; 6665623-6665632; 6665634-6665643; 6665645-6665654; 6665656-6665659; 666566; 6665670-6665676; 6665678-6665679; 666568; 6665690-6665698; 6665701-6665710; 6665712-6665721; 6665723-6665732; 6665734; 6665901-6665910; 6665912-6665921; 6665923-6665932; 6665934-6665943; 6665945-6665949; 666595-666596; 6665970-6665976; 6665978-6665987; 6665989-6665997; 6665999; 666710-666713; 66800-66801; 6680337; 6680398; 66806-66807; 668080-668088; 6680890-6680894; 66810; 668110; 6681110; 6681112-6681119; 668112-668119; 6681240-6681243; 668125-668129; 6681310; 6681312-6681321; 6681323-6681332; 6681334-6681339; 668136-668138; 6681501-6681510; 6681512-6681521; 6681523-6681529; 6681610; 6681624; 6681630; 6681635; 6681656; 668170; 668172-668179; 66818; 66819000; 66819002-66819008; 6681901-6681909; 668191-668199; 66821-66822; 6682606; 6682667-6682668; 66828; 6682927-6682928; 6682994; 6683128-6683132; 6683134-6683143; 6683145-6683154; 6683156-6683165; 6683167-6683176; 6683178-6683181; 66833; 668431-668439; 668441-668449; 668452-668457; 66847-66848; 668490-668496; 66852; 668542-668548; 668560; 668562-668569; 66857; 66860-66862; 66870-66872; 66878-66879; 66883-66884; 668850-668854; 6688703-6688709; 668871-668873; 6688740-6688748; 6688907; 6688925-6688929; 668899; 66890; 66892; 6689343; 6689346-6689347; 6689375-6689376; 6689378-6689379; 6689381; 6689394-6689398; 66895; 66898-66899; 66901; 6690202-6690208; 669030; 6690310-6690315; 6690333-6690339; 669034-669039; 66904; 6690500-6690502; 6690741-6690749; 669075-669087; 6690880-6690884; 6691203-6691209; 669121-669137; 6691558-6691559; 669156-669168; 6691690-6691695; 6692246-6692249; 669225-669229; 66923-66936; 669371-669378; 6693790-6693795; 6695130-6695132; 6695149-6695157; 6695200-6695203; 6695244-6695245; 6695300-6695305; 6695377-6695380; 6697918-6697919; 669792-669796; 6697970-6697976; 6697978-6697979; 669798-669799; 6698; 669900; 6699010-6699017</t>
  </si>
  <si>
    <t>THAILAND-MOBILE DTAC</t>
  </si>
  <si>
    <t>6661684-6661687; 6661689-6661698; 6661701-6661710; 6661712-6661721; 6661723-6661732; 6661734-6661743; 6661745-6661754; 6661756-6661765; 6661767-6661769; 666177; 6661780-6661787; 6661789-6661798; 6661801-6661810; 6661812-6661821; 6661823-6661832; 6661834-6661843; 6661845-6661854; 6661856-6661865; 6661867-6661876; 6661878-6661879; 666188-666189; 6661901-6661910; 6661912-6661921; 6661923-6661932; 6661934-6661943; 6661945-6661954; 6661956-6661965; 6661967-6661976; 6661978-6661987; 6661989; 666199-666200; 6662010; 6662012-6662021; 6662023-6662032; 6662034-6662043; 6662045-6662054; 6662056-6662065; 6662067-6662076; 6662078-6662087; 6662089-6662098; 6662614-6662621; 6662623-6662632; 6662634-6662643; 6662645-6662649; 666265-666266; 6662670-6662676; 6662678-6662687; 6662689-6662698; 6662701-6662710; 6662712-6662721; 6662723-6662732; 6662734-6662743; 6662745-6662754; 6662756-6662765; 6662767-6662769; 666277; 6662780-6662787; 6662789-6662798; 6662801-6662810; 6662812-6662821; 6662823-6662832; 6662834-6662843; 6662845-6662854; 6662856-6662865; 6662867-6662876; 6662878-6662879; 666288; 6662890-6662898; 6662901-6662910; 6662912-6662921; 6662923-6662932; 6662934-6662943; 6662945-6662954; 6662956-6662965; 6662967-6662976; 6662978-6662982; 6663296-6663298; 6663301-6663310; 6663312-6663321; 6663323-6663329; 666333; 6663340-6663343; 6663345-6663354; 6663356-6663365; 6663367-6663376; 6663378-6663387; 6663389-6663398; 6663401-6663410; 6663412-6663421; 6663423-6663432; 6663434-6663439; 666344; 6663450-6663454; 6663456-6663465; 6663467-6663476; 6663478-6663487; 6663489-6663498; 6663501-6663510; 6663512-6663521; 6663523-6663532; 6663534-6663543; 6663545-6663549; 666355; 6665203-6665210; 6665212-6665219; 666522; 6665230-6665232; 6665234-6665235; 6665735-6665743; 6665745-6665754; 6665756-6665765; 6665767-6665778; 6665998; 6666001-6666010; 6666012-6666021; 6666023-6666032; 6666034-6666043; 6666045-6666054; 6666056-6666065; 6666067-6666076; 6666078-6666087; 6666089-6666098; 6666101-6666110; 6666112-6666121; 6666123-6666132; 6666134-6666143; 6666145-6666154; 6666156-6666165; 6666167-6666168; 66804-66805; 6680895-6680899; 6681205-6681209; 668130; 668134; 668139; 6681401-6681409; 668141-668145; 668147-668149; 668153-668160; 6681611-6681623; 6681625-6681629; 6681631-6681634; 6681636-6681639; 668164; 6681650-6681655; 6681657-6681659; 668166-668169; 668171; 66823-66824; 66827; 66831; 668328-668329; 668341; 668354-668359; 668362-668367; 668369; 668372-668374; 668376; 668395-668396; 668430; 668440; 668451; 668459; 66846; 66850-66851; 66853; 668540-668541; 668549; 668561; 668590-668592; 668675-668679; 66868-66869; 66873-66877; 66880-66881; 668820-668824; 66888; 6688900-6688906; 66894; 66896-66897; 66900; 6690548-6690549; 669055-669059; 66906; 669070-669073; 6690740; 669108-669109; 66911; 6691200-6691202; 669138-669139; 66914; 669150-669154; 6691550-6691557; 6691979; 669198-669199; 66920-66921; 669220-669223; 6692240-6692245; 6694241-6694246; 6694249; 669425-669429; 66943-66950; 6695100-6695106; 6695108-6695109; 669511-669512; 6699018-6699019; 669902-669909; 66991-66994; 6699500-6699506</t>
  </si>
  <si>
    <t>THAILAND-MOBILE MOBILITY SVCS</t>
  </si>
  <si>
    <t>6682638; 6683002; 66830032; 66865028-66865029; 6688996-6688999; 668930; 668932; 6689364; 6689377; 669230; 669320; 6693331; 669340; 669370; 66937970; 66996707</t>
  </si>
  <si>
    <t>THAILAND-MOBILE MSRN DTAC</t>
  </si>
  <si>
    <t>66942450-66942458; 66942460-66942468; 6694247-6694248; 66942501-66942505; 669425066-669425067; 66942509; 6695107</t>
  </si>
  <si>
    <t>THAILAND-MOBILE MSRN TRUE</t>
  </si>
  <si>
    <t>6693797; 66938014; 66938020-66938028; 6693803; 66996038-66996039</t>
  </si>
  <si>
    <t>THAILAND-MOBILE OTHERS</t>
  </si>
  <si>
    <t>666; 668-669</t>
  </si>
  <si>
    <t>THAILAND-MOBILE TRUEMOVE</t>
  </si>
  <si>
    <t>666100; 6661010; 6661012-6661017; 6663712-6663721; 6663723-6663732; 6663734-6663743; 6663745-6663754; 6663756-6663765; 6663767-6663769; 666377; 6663780-6663787; 6663789-6663798; 6663801-6663810; 6663812-6663821; 6663823-6663832; 6663834-6663843; 6663845-6663854; 6663856-6663865; 6663867-6663876; 6663878-6663879; 666388; 6663890-6663898; 6663901-6663910; 6663912-6663921; 6663923-6663932; 6663934-6663943; 6663945-6663954; 6663956-6663965; 6663967-6663976; 6663978-6663987; 6663989; 666399-666400; 6664010; 6664012-6664021; 6664023-6664032; 6664034-6664043; 6664045-6664054; 6664056-6664065; 6664067-6664076; 6664078-6664087; 6664089-6664098; 6664101-6664109; 666411; 6664120-6664121; 6664123-6664132; 6664134-6664143; 6664145-6664149; 666415; 6664160-6664165; 6664167-6664176; 6664178-6664187; 6664189; 666419; 6664201-6664210; 6664212-6664219; 666422; 6664230-6664232; 6664234-6664239; 666424-666425; 6664260-6664265; 6664267-6664276; 6664278-6664287; 6664289-6664298; 6664301-6664310; 6664312-6664321; 6664323-6664329; 666433; 6664340-6664343; 6664345-6664354; 6664356-6664362; 6664396-6664398; 6664401-6664410; 6664412-6664421; 6664423-6664432; 6664434-6664439; 666444; 6664450-6664454; 6664456-6664465; 6664467-6664476; 6664478-6664487; 6664489-6664498; 6664501-6664510; 6664512-6664521; 6664523-6664532; 6664534-6664543; 6664545-6664549; 666455-666456; 6664570-6664576; 6664578-6664587; 6664589; 666459; 6664601-6664610; 6664612-6664621; 6664623-6664632; 6664634-6664643; 6664645-6664649; 666465-666466; 6664670-6664676; 6664678-6664687; 6664689-6664698; 6664701-6664710; 6664712-6664721; 6664723-6664732; 6664734-6664743; 6664745-6664754; 6664756-6664765; 6664767-6664769; 666477; 6664780-6664787; 6664789-6664798; 6664801-6664810; 6664812-6664821; 6664823-6664832; 6664834-6664843; 6664845-6664854; 6664856-6664865; 6664867-6664876; 6664878-6664879; 666488; 6664890-6664898; 6664901-6664910; 6664912-6664921; 6664923-6664929; 6665802-6665810; 6665812-6665821; 6665823-6665832; 6665834-6665843; 6665845-6665854; 6665856-6665865; 6665867-6665876; 6665878-6665879; 666588; 6665890-6665898; 666719-666723; 6667275-6667279; 666728-666730; 6667310-6667316; 66802; 668030-668032; 6680330-6680336; 6680338-6680339; 668034-668038; 6680390-6680397; 6680399; 66809; 6681202-6681204; 6681234-6681235; 6681245-6681249; 6681468-6681469; 66820; 66825; 6682600-6682605; 6682607-6682609; 668261-668262; 6682630-6682637; 6682639; 668264-668265; 6682660-6682666; 6682669; 668267-668269; 668290-668291; 6682920-6682926; 6682929; 668293-668298; 6682990-6682993; 6682995-6682999; 668320-668327; 668340; 668342-668353; 668360-668361; 668368; 668370-668371; 668375; 668377-668379; 66838; 668390-668394; 668397-668399; 66840-66842; 668450; 668458; 668497-668499; 66855; 66858; 668593-668597; 6685980-6685985; 6685988-6685989; 668599; 6686500; 6686503-6686509; 668651-668659; 66866; 668670-668674; 66886; 6688700-6688702; 6688908-6688909; 668891; 6688920-6688924; 668893-668898; 6688990; 6688994-6688995; 6689100; 6689103-6689109; 668911-668919; 6690201; 6690209-6690210; 6690212-6690221; 6690223-6690232; 6690234-6690243; 6690245-6690254; 6690256-6690265; 6690267-6690276; 6690278-6690287; 6690289-6690298; 6690316-6690321; 6690323-6690332; 6690885-6690887; 6690889-6690898; 6690901-6690910; 6690912-6690921; 6690923-6690932; 6690945-6690954; 6690956-6690965; 6690967-6690976; 6690978-6690987; 6690989-6690998; 6691001-6691010; 6691012-6691021; 6691023-6691032; 6691034-6691043; 6691045-6691054; 6691056-6691065; 6691067-6691076; 6691078-6691079; 6691696-6691698; 6691701-6691710; 6691712-6691721; 6691723-6691732; 6691734-6691743; 6691745-6691754; 6691756-6691765; 6691767-6691776; 6691778-6691787; 6691789-6691798; 6691801-6691810; 6691812-6691821; 6691823-6691832; 6691834-6691843; 6691845-6691854; 6691856-6691865; 6691867-6691876; 6691878-6691887; 6691889-6691890; 6693796; 6693798-6693801; 6693804-6693809; 669381-669389; 66939-66941; 669420-669423; 6694240; 6695134-6695143; 6695145-6695148; 6695158-6695165; 6695167-6695176; 6695178-6695187; 6695189-6695198; 6695204-6695210; 6695212-6695221; 6695223-6695232; 6695234-6695243; 6695246-6695254; 6695256-6695265; 6695267-6695276; 6695278-6695287; 6695289-6695298; 6695306-6695310; 6695312-6695321; 6695323-6695332; 6695334-6695343; 6695345-6695354; 6695356-6695365; 6695367-6695376; 6695381-6695387; 6695389-6695398; 6695401-6695410; 6695412-6695421; 6695423-6695432; 6695434-6695443; 6695445-6695454; 6695456-6695465; 6695467-6695476; 6695478-6695487; 6695489-6695498; 6695501-6695510; 6695512-6695521; 6695523-6695532; 6695534-6695543; 6695545-6695554; 6695556-6695565; 6695567-6695576; 6695578-6695587; 6695589-6695598; 6695601-6695610; 6695612-6695621; 6695623-6695632; 6695634-6695643; 6695645-6695654; 6695656-6695665; 6695667-6695676; 6695678-6695687; 6695689-6695698; 6695701-6695710; 6695712-6695721; 6695723-6695732; 6695734-6695743; 6695745-6695754; 6695756-6695765; 6695767-6695776; 6695778-6695787; 6695789-6695798; 6695801-6695810; 6695812-6695821; 6695823-6695832; 6695834-6695843; 6695845-6695854; 6695856-6695865; 6695867-6695876; 6695878-6695887; 6695889-6695898; 6695901-6695910; 6695912-6695921; 6695923-6695932; 6695934-6695943; 6695945-6695954; 6695956-6695959; 669596-669597; 6695980-6695987; 6695989; 669599; 66960-66965; 669660-669662; 6696630-6696632; 6696634-6696643; 6696645-6696654; 6696656-6696665; 6696667-6696676; 6696678-6696687; 6696689-6696698; 6696701-6696710; 6696712-6696721; 6696723-6696732; 6696734-6696743; 6696745-6696754; 6696756-6696765; 6696767-6696776; 6696778-6696787; 6696789-6696798; 6696801-6696810; 6696812-6696821; 6696823-6696832; 6696834-6696843; 6696845-6696854; 6696856-6696865; 6696867-6696876; 6696878-6696887; 6696889-6696898; 6696901-6696910; 6696912-6696921; 6696923-6696932; 6696934-6696943; 6696945-6696954; 6696956-6696965; 6696967-6696976; 6696978-6696987; 6696989-6696998; 6697001-6697010; 6697012-6697021; 6697023-6697032; 6697034-6697043; 6697045-6697054; 6697056-6697065; 6697067-6697076; 6697078-6697087; 6697089-6697098; 6697101-6697110; 6697112-6697121; 6697123-6697132; 6697134-6697143; 6697145-6697154; 6697156-6697165; 6697167-6697176; 6697178-6697187; 6697189-6697198; 6697201-6697210; 6697212-6697221; 6697223-6697232; 6697234-6697243; 6697245-6697254; 6697256-6697265; 6697267-6697276; 6697278-6697287; 6697289-6697298; 6697301-6697310; 6697312-6697321; 6697323-6697332; 6697334-6697343; 6697345-6697354; 6697356-6697361; 6699507-6699509; 669951-669959; 66996; 669970-669974; 6699750-6699754; 6699756-6699765; 6699767-6699769; 669977; 6699780-6699787; 6699789-6699798; 6699801-6699810; 6699812-6699821; 6699823-6699832; 6699834-6699843; 6699845-6699854; 6699856-6699865; 6699867-6699876; 6699878-6699879; 669988; 6699890-6699898; 66999</t>
  </si>
  <si>
    <t>THURAYA UAE</t>
  </si>
  <si>
    <t>88216</t>
  </si>
  <si>
    <t>TOGO</t>
  </si>
  <si>
    <t>228</t>
  </si>
  <si>
    <t>TOGO-MOBILE MOOV</t>
  </si>
  <si>
    <t>22879; 22896-22899</t>
  </si>
  <si>
    <t>TOGO-MOBILE OTHERS</t>
  </si>
  <si>
    <t>22870-22871; 22890-22894</t>
  </si>
  <si>
    <t>TOKELAU</t>
  </si>
  <si>
    <t>690</t>
  </si>
  <si>
    <t>TONGA</t>
  </si>
  <si>
    <t>676</t>
  </si>
  <si>
    <t>TONGA-EZINET</t>
  </si>
  <si>
    <t>67654-67655</t>
  </si>
  <si>
    <t>TONGA-MOBILE DIGICEL</t>
  </si>
  <si>
    <t>676681; 676685-676689; 67684; 6768500-6768504; 67686-67689; 676999</t>
  </si>
  <si>
    <t>TONGA-MOBILE TCC</t>
  </si>
  <si>
    <t>67672-67679</t>
  </si>
  <si>
    <t>TONGA-SPECIAL SVCS TOKO</t>
  </si>
  <si>
    <t>676557-676559</t>
  </si>
  <si>
    <t>TRINIDAD &amp; TOBAGO</t>
  </si>
  <si>
    <t>1868</t>
  </si>
  <si>
    <t>TRINIDAD &amp; TOBAGO-MOB DIGICEL</t>
  </si>
  <si>
    <t>186825-186829; 1868301-1868310; 1868312-1868319; 186832-186839; 1868430-1868436</t>
  </si>
  <si>
    <t>TRINIDAD &amp; TOBAGO-MOB OTHERS</t>
  </si>
  <si>
    <t>1868220; 1868227-1868229; 186846-186849; 1868620; 1868678; 186868; 1868701-1868710; 1868712-1868719; 186872-186879</t>
  </si>
  <si>
    <t>TUNISIA</t>
  </si>
  <si>
    <t>216</t>
  </si>
  <si>
    <t>TUNISIA-FIXED ORANGE</t>
  </si>
  <si>
    <t>21630-21632</t>
  </si>
  <si>
    <t>TUNISIA-MOBILE CLOUD</t>
  </si>
  <si>
    <t>216470; 2164710-2164714</t>
  </si>
  <si>
    <t>TUNISIA-MOBILE LYCAMOBILE</t>
  </si>
  <si>
    <t>216430-216437</t>
  </si>
  <si>
    <t>TUNISIA-MOBILE OOREDOO</t>
  </si>
  <si>
    <t>2162; 21636; 216391; 21646; 21648</t>
  </si>
  <si>
    <t>TUNISIA-MOBILE ORANGE</t>
  </si>
  <si>
    <t>2163001; 216311-216312; 2165</t>
  </si>
  <si>
    <t>TUNISIA-MOBILE OTHERS</t>
  </si>
  <si>
    <t>21640-21642; 21644; 2164706-2164709; 2169</t>
  </si>
  <si>
    <t>TUNISIA-TUNISIE TELECOM</t>
  </si>
  <si>
    <t>2167; 21681200</t>
  </si>
  <si>
    <t>TURKEY</t>
  </si>
  <si>
    <t>90</t>
  </si>
  <si>
    <t>TURKEY-CITIES</t>
  </si>
  <si>
    <t>90212; 90216; 90224; 90232; 90242; 90312; 90322; 90362</t>
  </si>
  <si>
    <t>TURKEY-MOBILE AVEA</t>
  </si>
  <si>
    <t>9050; 9055</t>
  </si>
  <si>
    <t>TURKEY-MOBILE MSRN VODAFONE</t>
  </si>
  <si>
    <t>90542871</t>
  </si>
  <si>
    <t>TURKEY-MOBILE OTHERS</t>
  </si>
  <si>
    <t>905</t>
  </si>
  <si>
    <t>TURKEY-MOBILE TURKCELL</t>
  </si>
  <si>
    <t>9051616; 9053; 9056161</t>
  </si>
  <si>
    <t>TURKEY-MOBILE TURKCELL N CYP</t>
  </si>
  <si>
    <t>9053382-9053388; 9053910-9053915</t>
  </si>
  <si>
    <t>TURKEY-MOBILE VODAFONE</t>
  </si>
  <si>
    <t>9054; 90574</t>
  </si>
  <si>
    <t>TURKEY-MOBILE VODAFONE N CYP</t>
  </si>
  <si>
    <t>9054285-9054288; 9054698-9054699; 9054881-9054889</t>
  </si>
  <si>
    <t>TURKEY-NORTH CYPRUS</t>
  </si>
  <si>
    <t>90392</t>
  </si>
  <si>
    <t>TURKMENISTAN</t>
  </si>
  <si>
    <t>993</t>
  </si>
  <si>
    <t>TURKMENISTAN-MOBILE</t>
  </si>
  <si>
    <t>9936; 99371; 99377</t>
  </si>
  <si>
    <t>TURKS &amp; CAICOS ISLANDS</t>
  </si>
  <si>
    <t>1649</t>
  </si>
  <si>
    <t>TURKS &amp; CAICOS ISLANDS-MOB CW</t>
  </si>
  <si>
    <t>1649231-1649232; 1649239; 1649241-1649247; 1649249; 1649431-1649433; 1649441-1649443</t>
  </si>
  <si>
    <t>TURKS &amp; CAICOS ISLANDS-MOB DG</t>
  </si>
  <si>
    <t>16493</t>
  </si>
  <si>
    <t>TUVALU</t>
  </si>
  <si>
    <t>688</t>
  </si>
  <si>
    <t>UGANDA</t>
  </si>
  <si>
    <t>256</t>
  </si>
  <si>
    <t>UGANDA-MOBILE AIRTEL</t>
  </si>
  <si>
    <t>256200-256201; 256207; 25670; 25674-25675</t>
  </si>
  <si>
    <t>UGANDA-MOBILE MTN</t>
  </si>
  <si>
    <t>25620310-25620314; 25632; 25639; 2567240; 2567280; 25676-25678; 256790-256793</t>
  </si>
  <si>
    <t>UGANDA-MOBILE SMILE</t>
  </si>
  <si>
    <t>256720</t>
  </si>
  <si>
    <t>UGANDA-MOBILE TELECEL</t>
  </si>
  <si>
    <t>25671</t>
  </si>
  <si>
    <t>UGANDA-MOBILE VODAFONE</t>
  </si>
  <si>
    <t>256723</t>
  </si>
  <si>
    <t>UGANDA-PRS PHONEGROUP</t>
  </si>
  <si>
    <t>256205455; 256205468</t>
  </si>
  <si>
    <t>UGANDA-PRS TELEMEDIA</t>
  </si>
  <si>
    <t>25620547</t>
  </si>
  <si>
    <t>UGANDA-ROKE</t>
  </si>
  <si>
    <t>256205</t>
  </si>
  <si>
    <t>UKRAINE</t>
  </si>
  <si>
    <t>380</t>
  </si>
  <si>
    <t>UKRAINE-FIXED OTHERS</t>
  </si>
  <si>
    <t>3803124000-3803124001; 380312424-380312425; 380312440-380312444; 380312488; 3803222675-3803222679; 380322295; 380322320-380322329; 380322362-380322366; 38032240-38032242; 38032244-38032245; 380322465-380322474; 380322490-380322493; 38032290; 380322948-380322949; 380332203-380332207; 380332277; 380332280-380332284; 380332701; 380332780; 380332782-380332789; 380334463; 380335271; 38034250; 3803425121-3803425122; 3803425910-3803425914; 38034271-38034272; 380342735-380342744; 380342766-380342767; 38034277; 380343337-380343338; 380347230-380347234; 380347270-380347272; 380347276; 380347278-380347279; 380347573-380347574; 380352400-380352409; 3803524391-3803524392; 380352440-380352444; 380352454; 380352560-380352561; 380362400-380362409; 380362420; 380362429; 380362460-380362462; 380362488-380362489; 38037290; 3803729100-3803729101; 380372931-380372935; 38037295; 380372977; 380382686-380382689; 380382700; 380382710-380382712; 380382717-380382719; 380382723; 3803827240; 3803827247-3803827249; 380382725-380382726; 380382729-380382737; 380382740; 3803827419-3803827429; 380382743; 380382746; 380382748-380382749; 380382774-380382775; 380382783-380382785; 380382787; 3803827880-3803827884; 380382789; 3803827913-3803827915; 380384240-380384242; 380384298; 380384962; 380384964-380384965; 3803849690-3803849699; 3803854460-3803854469; 380385449; 38041246032; 3804125000-3804125001; 38041252; 380412558-380412559; 380412576; 380432502-380432504; 380432506-380432509; 380432572-380432573; 380432605; 380432629; 380432631; 380432633; 380432644; 380432650-380432659; 380442010-380442011; 380442013; 380442015-380442019; 38044202-38044204; 380442050; 380442054-380442059; 380442064-380442069; 38044207-38044209; 3804422100; 3804422102; 3804422104-3804422107; 3804422112; 3804422114-3804422115; 3804422117-3804422118; 3804422122; 3804422125; 3804422132; 3804422136; 3804422138; 3804422140; 3804422154; 3804422161; 3804422181; 3804422188; 380442220-380442224; 3804422256; 3804422271; 3804422273-3804422274; 3804422277; 3804422280-3804422281; 3804422286; 3804422299; 3804422301; 3804422303; 3804422307-3804422308; 3804422315; 3804422321; 3804422332; 3804422346; 3804422387; 3804422390-3804422391; 3804422396; 380442245-380442249; 38044225; 3804422703; 3804422707; 3804422725; 3804422731; 3804422752-3804422753; 3804422769; 3804422776-3804422778; 3804422783; 3804422792; 3804422794-3804422795; 3804422801; 3804422805; 3804422807; 3804422830; 3804422833; 3804422835; 3804422840; 3804422844; 3804422846; 3804422848; 3804422858; 3804422860; 3804422862; 3804422865; 3804422870; 3804422873; 3804422880-3804422881; 3804422884; 3804422894; 3804422898; 3804422903; 3804422940-3804422943; 3804422945; 3804422947; 3804422949-3804422950; 3804422953; 3804422955-3804422956; 3804422958; 3804422961; 3804422964; 3804422967; 3804422969-3804422971; 3804422974; 3804422980-3804422981; 3804422985; 3804422992; 3804422997; 3804422999; 3804423060; 3804423069; 380442308; 380442312-380442316; 380442320-380442329; 38044233; 38044237; 3804423826-3804423827; 380442386; 380442390-380442392; 380442395; 3804423990; 3804423996-3804423999; 38044240; 3804424410-3804424411; 3804424490-3804424491; 3804424494-3804424495; 3804424497; 380442470; 3804424710-3804424714; 3804424716-3804424719; 3804424739; 380442475-380442477; 380442479; 380442511-380442512; 380442517-380442518; 38044277; 38044321-38044324; 3804433100; 3804433121; 3804433124; 3804433130; 3804433134-3804433137; 3804433139; 3804433141; 3804433143; 3804433149; 3804433151-3804433152; 3804433180; 3804433185; 3804433187; 3804433192; 3804433194; 3804433205; 3804433220-3804433222; 3804433228; 3804433240; 3804433245; 3804433253; 3804433256-3804433258; 3804433265; 3804433272; 3804433277; 3804433285; 3804433291; 3804433296; 380443335; 3804433700; 3804433703; 3804433707-3804433708; 3804433711; 3804433717; 3804433719-3804433722; 3804433725-3804433727; 3804433733; 3804433736-3804433738; 3804433740; 3804433747; 3804433749-3804433750; 3804433753; 3804433755; 3804433757-3804433758; 3804433766-3804433767; 3804433770; 3804433773; 3804433775; 3804433777-3804433780; 3804433782; 3804433786; 3804433788; 3804433790-3804433791; 3804433795; 3804433798-3804433800; 3804433803; 3804433806; 3804433808; 3804433810; 3804433812; 3804433817-3804433818; 3804433825-3804433826; 3804433828; 3804433831; 3804433837; 3804433839; 3804433841; 3804433843; 3804433849; 3804433851; 3804433860-3804433861; 3804433873-3804433875; 3804433877; 3804433882-3804433883; 3804433885; 3804433888; 3804433894-3804433895; 3804435300; 3804435310; 3804435319; 3804435322; 3804435329; 3804435333; 3804435346-3804435348; 3804435356; 3804435360; 3804435368; 3804435376; 3804435380-3804435382; 3804435388; 3804435392-3804435393; 380443540-380443549; 38044355-38044358; 3804436020; 3804436067; 3804436088; 3804436096-3804436097; 3804436101; 3804436177; 3804436202; 3804436213; 3804436235; 380443630-380443639; 38044364-38044365; 380443775; 380443777; 3804438300; 3804438308; 3804438322; 3804438344; 3804438349-3804438350; 3804438381; 3804438390; 3804438393-3804438394; 3804438402; 3804438410; 3804438416; 3804438423; 3804438425; 3804438432; 3804438446; 38044386-38044394; 380444514; 3804445166; 3804445173; 3804445183-3804445189; 3804445192; 3804445570-3804445575; 3804445577-3804445579; 380444558-380444559; 380444590-380444594; 380444597-380444599; 3804446176-3804446179; 380444618-380444619; 380444655-380444659; 38044466; 38044469; 38044490-38044493; 380444940-380444947; 38044495-38044496; 38044498-38044503; 380445070-380445072; 380445234-380445235; 3804453112-3804453114; 3804453119; 3804453130; 3804453137-3804453139; 380445315-380445319; 380445360-380445365; 380445370; 380445372-380445373; 380445376-380445377; 380445380-380445381; 380445390-380445394; 380445610; 3804456124-3804456128; 380445614-380445619; 380445680; 380445682; 3804456850-3804456853; 3804456857-3804456859; 380445780-380445782; 38044581; 380445830-380445836; 380445842-380445844; 38044585-38044586; 3804458753; 3804458757; 3804458773; 3804459203; 3804459207; 3804459234; 3804459240; 3804459279; 3804459287; 380445930-380445944; 3804459600-3804459619; 380445962-380445964; 3804459700-3804459719; 3804459906; 3804459937; 3804459954; 3804459973; 3804459980; 3804459984; 3804459986-3804459987; 3804459989; 3804459996; 380456301; 3804563366-3804563367; 380456344; 380459470; 380459491; 380459546-380459549; 380459598-380459599; 380459691; 3804598560-3804598566; 38045985670-38045985675; 380459860-380459869; 380462616; 380462650; 3804627300-3804627301; 38046292; 380462968; 380462975-380462979; 380472508-380472512; 380472515-380472516; 380472520; 380472590-380472591; 380474039; 380482300-380482301; 380482303-380482309; 38048231-38048238; 3804823905-3804823909; 380482392-380482393; 380482395-380482399; 38048242; 38048249; 380484061-380484063; 380484161; 380484163-380484164; 380484197; 380484235; 380484361-380484362; 380484448-380484449; 380484560-380484563; 380484660-380484662; 380484748-380484749; 380484878-380484879; 380484968-380484969; 380484998-380484999; 380485138-380485139; 380485260-380485261; 380485360-380485362; 380485461-380485462; 380485531-380485533; 380485761-380485762; 380485861-380485862; 380485961-380485962; 380486061-380486062; 380486161-380486162; 380486234-380486239; 380486331-380486332; 380486461-380486462; 380486561-380486562; 380486661-380486662; 380486748-380486749; 380486824-380486825; 380486833-380486835; 380486855-380486859; 380486870-380486874; 3804868750-3804868751; 3804868756; 38048700-38048704; 38048706; 38048709; 3804871; 38048728; 380487293-380487297; 3804872980-3804872986; 3804872988-3804872991; 3804872993-3804872996; 3804872999; 38048734-38048736; 38048738; 3804874040-3804874042; 3804874044-3804874045; 3804874047; 380487405; 3804874060; 3804874064-3804874067; 3804874069; 380487409; 380487414; 380487416-380487417; 38048743; 380487578-380487579; 380487591-380487592; 380487594; 380487596; 380487599; 380487601; 38048770-38048775; 38048777; 38048780-38048785; 38048787; 380487880-380487894; 38048790-38048791; 380487920-380487927; 38048793-38048795; 380487961-380487964; 380487968-380487969; 38048798-38048799; 38051245; 380512489; 38051258; 38051267; 380512700-380512701; 380512708; 38051275; 380512765-380512769; 380512776-380512779; 38052221; 380522303; 380522305; 3805223060-3805223061; 380532505; 3805325060-3805325069; 380532507-380532509; 380532540; 380532610-380532628; 3805326290-3805326297; 3805326498-3805326499; 380532670-380532672; 380532695-380532696; 3805326974-3805326978; 3805367830-3805367834; 380536785-380536798; 380542702-380542703; 3805427040-3805427041; 380542705-380542710; 380542740-380542744; 380542767-380542768; 380552319; 380552360; 3805523626-3805523628; 380552363-380552364; 380552370-380552378; 38055241; 380552445-380552448; 380552700-380552701; 380552707-380552708; 380552750-380552754; 380552795-380552799; 38056230-38056236; 38056238-38056239; 380562476-380562478; 380562674-380562679; 38056370-38056374; 380563750-380563759; 38056376-38056378; 380563790; 3805637910; 38056379110-38056379115; 38056400; 380564028; 38056404; 380564080-380564081; 380564090-380564099; 380564110-380564114; 38056462; 380564701; 38056499; 380566630; 38056721; 380567334-380567336; 38056736; 380567479; 380567660-380567664; 380567800-380567805; 38056781; 38056784; 380567870-380567874; 380567878-380567879; 38056790; 380567912-380567913; 380567916; 38056794-38056797; 380567980-380567984; 3805693561-3805693565; 380569584-380569585; 380569588-380569590; 380569690; 380569696-380569698; 380577140-380577146; 380577149; 380577151-380577152; 38057716; 380577170-380577173; 3805771740-3805771744; 3805771747-3805771749; 380577175-380577179; 38057718; 380577190-380577197; 3805771986; 3805771989; 38057727-38057728; 380577500-380577505; 380577518-380577525; 380577543-380577546; 380577563; 380577570-380577571; 380577574-380577575; 380577577-380577578; 380577580-380577581; 380577585-380577588; 380577590-380577593; 380577599; 380577601-380577602; 38057761; 380577620-380577622; 380577624-380577625; 38057765-38057766; 380577670-380577677; 380577680-380577681; 380577685-380577688; 38057774; 38057782; 380577833-380577841; 38057785; 380577867-380577869; 380577880-380577882; 38057789; 38061212-38061213; 380612140-380612149; 380612160; 380612170; 380612172-380612173; 380612175-380612179; 380612181-380612187; 380612190; 380612210-380612211; 38061222; 3806122511-3806122517; 38061228; 380612710-380612719; 380612800-380612809; 380612866; 38061289; 380617020; 380617040-380617042; 38061709; 380619450; 38062204; 380622050-380622054; 380622073-380622074; 380622081; 380622083; 380622089; 38062210; 38062213-38062214; 380623200-380623202; 38062330-38062331; 38062333; 38062336; 38062339; 380623403-380623404; 380623415; 380623458-380623459; 380623480; 380623482; 380623485-380623487; 380623490-380623492; 380623495-380623499; 3806238; 380624584-380624585; 380624593-380624595; 380625540; 380625550; 380625759; 380626490; 3806264910-3806264911; 380626756; 380626777; 380629450-380629452; 380629481-380629485; 380629535-380629537; 380629595-380629599; 38064272; 38064278; 380642791-380642795; 38069245; 380692460-380692463; 3806924645-3806924649; 380692465-380692469; 38069247; 38069292-38069294; 380692956-380692957; 380692962-380692977; 38070090; 3807090; 380891; 380897; 380899</t>
  </si>
  <si>
    <t>UKRAINE-MOBILE ASTELIT</t>
  </si>
  <si>
    <t>38063; 38073; 38093</t>
  </si>
  <si>
    <t>UKRAINE-MOBILE KIEVSTAR</t>
  </si>
  <si>
    <t>38067-38068; 38077; 38096-38098</t>
  </si>
  <si>
    <t>UKRAINE-MOBILE MTS</t>
  </si>
  <si>
    <t>38050; 38066; 38075; 38095; 38099</t>
  </si>
  <si>
    <t>UKRAINE-MOBILE OTHERS</t>
  </si>
  <si>
    <t>38094</t>
  </si>
  <si>
    <t>UKRAINE-MOBILE TELESYSTEMS</t>
  </si>
  <si>
    <t>38092</t>
  </si>
  <si>
    <t>UKRAINE-MOBILE TRIMOB</t>
  </si>
  <si>
    <t>38091</t>
  </si>
  <si>
    <t>UNITED ARAB EMIRATES</t>
  </si>
  <si>
    <t>971</t>
  </si>
  <si>
    <t>UNITED ARAB EMIRATES-MOB OTHER</t>
  </si>
  <si>
    <t>97150; 97154; 97156</t>
  </si>
  <si>
    <t>UNITED ARAB EMIRATES-MOBILE DU</t>
  </si>
  <si>
    <t>9715</t>
  </si>
  <si>
    <t>UNITED KINGDOM</t>
  </si>
  <si>
    <t>44</t>
  </si>
  <si>
    <t>UNITED KINGDOM-ISLANDS AND IOM</t>
  </si>
  <si>
    <t>441481; 441534; 441624</t>
  </si>
  <si>
    <t>UNITED KINGDOM-LONDON</t>
  </si>
  <si>
    <t>44203; 44207-44208</t>
  </si>
  <si>
    <t>UNITED KINGDOM-MOBILE EE</t>
  </si>
  <si>
    <t>447409-447410; 447416; 447419-447422; 447527-447531; 4475320-4475324; 447536; 447556; 447579-447583; 447772-447773; 447779; 447790-447792; 447794; 447800; 447805; 447807; 447811-447817; 447837; 447854-447855; 447866; 447870; 447875; 447890-447891; 447896; 447929; 447964-447977; 447980; 447989</t>
  </si>
  <si>
    <t>UNITED KINGDOM-MOBILE HUTCH 3G</t>
  </si>
  <si>
    <t>447307-447312; 447360-447363; 447365-447367; 4473781-4473789; 4473801-4473809; 447383; 4473890-4473891; 4473970-4473973; 4473975-4473979; 447400-447403; 447411-447414; 4474170; 4474180; 447426-447429; 447445-447447; 447449-447450; 4474527-4474529; 447453-447456; 4474586; 4474589; 447460; 447462-447463; 4474652; 4474654; 4474656-4474659; 447472-447482; 4474884-4474885; 4474887; 4474889; 447490-447492; 4475326-4475328; 447533; 4475378-4475379; 447575-447578; 447588; 447723; 447727-447728; 447735; 447737; 447782; 447828; 4478290-4478296; 447830; 447832; 447838; 447846; 447848; 447853; 447859; 447861-447863; 447865; 447868-447869; 447877-447878; 447882-447883; 447886; 447888; 447897-447898; 447915-447916; 447988</t>
  </si>
  <si>
    <t>UNITED KINGDOM-MOBILE O2</t>
  </si>
  <si>
    <t>447106-447107; 447354-447355; 447381-447382; 447394-447395; 447430-447431; 447461; 447489; 447499; 44751; 447521-447523; 447525-447526; 44754; 44756; 44759; 447701-447716; 447718-447720; 447724-447725; 447729-447732; 447734; 447736; 447738-447740; 447742-447743; 447745-447746; 447749-447752; 4477531-4477539; 447754; 447756; 447759; 447761-447764; 447783-447784; 447793; 447801-447803; 447808-447809; 447819-447821; 447834-447835; 447840-447845; 447849-447851; 447856-447858; 447860; 4478640-4478643; 4478645-4478649; 447871; 4478720-4478721; 4478723-4478726; 4478728-4478729; 4478731-4478743; 4478746-4478749; 447885; 447889; 4478923-4478924; 4478926-4478929; 4478932; 4478934-4478937; 447894-447895; 447902; 447907; 447912; 447921-447923; 447925-447928; 447933-447936; 447938; 447955; 447999</t>
  </si>
  <si>
    <t>UNITED KINGDOM-MOBILE OTHERS</t>
  </si>
  <si>
    <t>447</t>
  </si>
  <si>
    <t>UNITED KINGDOM-MOBILE TMOBILE</t>
  </si>
  <si>
    <t>447300-447304; 447375-447377; 447396; 447398-447399; 447415; 447432-447434; 447483-447487; 447494-447498; 447504-447508; 447534-447535; 447538-447539; 447550; 447572-447574; 447722; 447726; 447757-447758; 447777; 447804; 447806; 447847; 447852; 447903-447906; 447908; 447910; 447913-447914; 447930-447932; 447939; 44794; 447950-447954; 447956-447963; 447981-447987</t>
  </si>
  <si>
    <t>UNITED KINGDOM-MOBILE VODAFONE</t>
  </si>
  <si>
    <t>447000; 447002; 447074; 447340-447342; 447344-447353; 4473687; 447379; 447384-447388; 4473897-4473898; 447391-447393; 447407; 447423; 447425; 447435-447437; 4474416; 447442-447444; 447464; 447467-447471; 447493; 447500-447503; 4475374; 447551-447555; 447557; 447570; 447584-447587; 4476591; 447717; 447721; 447733; 447741; 447747-447748; 447760; 447765-447771; 447774-447776; 447778; 447780; 447785-447789; 447795-447796; 447798-447799; 447810; 447818; 4478228; 447823-447827; 447831; 447833; 447836; 447867; 447876; 447879-447881; 447884; 447887; 447899-447901; 447909; 447917-447920; 447979; 447990</t>
  </si>
  <si>
    <t>UNITED KINGDOM-NGN 870</t>
  </si>
  <si>
    <t>44870</t>
  </si>
  <si>
    <t>UNITED KINGDOM-NGN LOCAL</t>
  </si>
  <si>
    <t>44843-44845</t>
  </si>
  <si>
    <t>UNITED KINGDOM-NGN NATIONAL</t>
  </si>
  <si>
    <t>44871-44873</t>
  </si>
  <si>
    <t>UNITED KINGDOM-PERSONAL SVCS</t>
  </si>
  <si>
    <t>4470; 4476433</t>
  </si>
  <si>
    <t>UNITED KINGDOM-SVC NR</t>
  </si>
  <si>
    <t>443; 44551107; 4455114; 445516; 44555500; 4455551; 4455553-4455555; 44558866; 4455888; 4456</t>
  </si>
  <si>
    <t>UPT</t>
  </si>
  <si>
    <t>87810</t>
  </si>
  <si>
    <t>URUGUAY</t>
  </si>
  <si>
    <t>598</t>
  </si>
  <si>
    <t>URUGUAY-MOBILE ANCEL</t>
  </si>
  <si>
    <t>59891-59892; 59898-59899</t>
  </si>
  <si>
    <t>URUGUAY-MOBILE CLARO</t>
  </si>
  <si>
    <t>59896-59897</t>
  </si>
  <si>
    <t>URUGUAY-MOBILE MOVISTAR</t>
  </si>
  <si>
    <t>59893-59895</t>
  </si>
  <si>
    <t>URUGUAY-MOBILE OTHERS</t>
  </si>
  <si>
    <t>5989</t>
  </si>
  <si>
    <t>URUGUAY-MONTEVIDEO</t>
  </si>
  <si>
    <t>5981-5982</t>
  </si>
  <si>
    <t>US VIRGIN ISLANDS</t>
  </si>
  <si>
    <t>1340</t>
  </si>
  <si>
    <t>USA</t>
  </si>
  <si>
    <t>1</t>
  </si>
  <si>
    <t>USA-DOMESTIC TOLL FREE</t>
  </si>
  <si>
    <t>1800; 1822; 1833; 1844; 1855; 1866; 1877; 1883; 1888</t>
  </si>
  <si>
    <t>UZBEKISTAN</t>
  </si>
  <si>
    <t>998</t>
  </si>
  <si>
    <t>UZBEKISTAN-MOBILE BEELINE</t>
  </si>
  <si>
    <t>99820; 99890-99892</t>
  </si>
  <si>
    <t>UZBEKISTAN-MOBILE MOBIUZ</t>
  </si>
  <si>
    <t>99887-99888; 99897</t>
  </si>
  <si>
    <t>UZBEKISTAN-MOBILE OTHERS</t>
  </si>
  <si>
    <t>9989</t>
  </si>
  <si>
    <t>UZBEKISTAN-MOBILE UCELL</t>
  </si>
  <si>
    <t>99850; 99893-99894</t>
  </si>
  <si>
    <t>UZBEKISTAN-MOBILE UZTELECOM</t>
  </si>
  <si>
    <t>99877</t>
  </si>
  <si>
    <t>VANUATU</t>
  </si>
  <si>
    <t>678</t>
  </si>
  <si>
    <t>VANUATU-MOBILE DIGICEL</t>
  </si>
  <si>
    <t>67833-67835; 6785</t>
  </si>
  <si>
    <t>VANUATU-MOBILE TVL</t>
  </si>
  <si>
    <t>67870-67871; 67873-67877</t>
  </si>
  <si>
    <t>VANUATU-MOBILE WANTOK</t>
  </si>
  <si>
    <t>6788; 67890</t>
  </si>
  <si>
    <t>VANUATU-SPECIAL SVCS WANTOK</t>
  </si>
  <si>
    <t>67887-67889; 678907-678909</t>
  </si>
  <si>
    <t>VENEZUELA</t>
  </si>
  <si>
    <t>58</t>
  </si>
  <si>
    <t>VENEZUELA-MOBILE DIGITEL</t>
  </si>
  <si>
    <t>58412; 58422</t>
  </si>
  <si>
    <t>VENEZUELA-MOBILE MOVILNET</t>
  </si>
  <si>
    <t>58416; 58426</t>
  </si>
  <si>
    <t>VENEZUELA-MOBILE MOVISTAR</t>
  </si>
  <si>
    <t>58414; 58424</t>
  </si>
  <si>
    <t>VENEZUELA-OFFNET</t>
  </si>
  <si>
    <t>58212200; 58212210-58212217; 58212219; 58212225; 58212227; 58212229; 58212300; 58212307-58212309; 5821231; 58212320; 58212324-58212327; 58212329; 58212335; 58212400; 58212414-58212419; 58212421; 58212424-58212425; 58212427-58212429; 58212435; 58212514-58212519; 58212524-58212529; 58212600; 58212610; 58212613-58212615; 58212618-58212621; 58212624-58212630; 58212635; 58212643-58212649; 58212651-58212659; 58212688; 58212700; 58212710; 58212714-58212729; 58212735; 58212740; 58212750; 58212770-58212772; 58212814-58212819; 5821282; 58212845; 58212914-58212915; 58212917-58212920; 58212935; 58234481-58234482; 58234500; 58234514-58234515; 58234681-58234682; 58234770-58234772; 58235351-58235352; 58235414; 58235500; 58235514-58235515; 58235651-58235652; 58235741-58235742; 58235773; 58237231; 58237241; 58237311; 58237321; 58237400; 58237411; 58237414; 58237421; 58237511; 58237521; 58238231-58238232; 58238414; 58238471-58238472; 58238500; 58238514-58238515; 58238541-58238542; 58238651-58238652; 58238773; 58239391-58239392; 58239400; 58239414-58239415; 58239500; 58239514-58239516; 58239600; 58239635; 58239688; 58239770; 58239935; 58240400; 58240414-58240417; 58240419; 58240701-58240703; 58241200; 58241300; 58241335; 58241412-58241417; 58241424; 58241435; 58241451-58241452; 58241513-58241516; 58241600; 58241613-58241619; 58241635; 58241688; 58241700; 58241714; 58241774-58241775; 58241813-58241817; 58241921-58241922; 58241935; 58242401; 58242414-58242417; 58242421-58242422; 58242500; 58242688; 58242780; 58243200-58243201; 58243214-58243220; 58243300; 58243335; 58243414; 58243431-58243432; 58243535; 58243614-58243615; 58243635; 58243688; 58243740; 58243935; 58243951-58243952; 58244251-58244252; 58244400; 58244414-58244419; 58244441-58244442; 58244500; 58244514-58244515; 58244635; 58244688; 58244773; 58244935; 58245400; 58245414-58245415; 58245451-58245452; 58245500; 58245514-58245515; 58245541-58245542; 58245635; 58245688; 58245772; 58245935; 58246400; 58246414-58246417; 58246461-58246462; 58246551-58246552; 58246661-58246662; 58246688; 58246751-58246752; 58246773; 58247414-58247415; 58247417; 58247500; 58247514-58247521; 58247571-58247572; 58247631-58247632; 58247688; 58247700; 58247704-58247706; 58247771-58247773; 58248400; 58248414-58248415; 58248951; 58249321-58249322; 58249400; 58249414-58249416; 58249515; 58249773; 58249941-58249942; 58251240-58251241; 58251335; 58251414-58251425; 58251435; 58251514; 58251635; 58251688; 58251710-58251711; 58251713-58251720; 58251814-58251817; 58251851-58251852; 58251935; 58252400; 58252414-58252415; 58252510-58252512; 58252635; 58252779; 58252935; 58253281-58253282; 58253414; 58253500; 58253513-58253516; 58253775; 58253910-58253911; 58254481-58254482; 58254514; 58254600; 58254614-58254616; 58254635; 58254681-58254682; 58254688; 58254775; 58254935; 58255414-58255415; 58255500; 58255600; 58255614-58255615; 58255635; 58255688; 58255710-58255711; 58255775; 58255935; 58256414-58256415; 58256500; 58256514; 58256688; 58256730; 58256740; 58256775; 58257400; 58257414-58257417; 58257514-58257516; 58257688; 58257740; 58257775; 58258400; 58258414-58258416; 58258581-58258582; 58258621-58258622; 58258688; 58258773; 58258851-58258852; 58259400; 58259414-58259416; 58259775; 58259881-58259882; 58259991-58259992; 58261200-58261201; 58261300; 58261312; 58261335; 58261400; 58261411-58261412; 58261414-58261421; 58261425-58261429; 58261435; 58261514-58261522; 58261614-58261617; 58261635; 58261688; 58261700; 58261714-58261719; 58261770-58261772; 58261800; 58261814-58261820; 58261914; 58261935; 58262200; 58262210; 58262220; 58262230; 58262270; 58262500; 58262514-58262515; 58262772; 58263310; 58263340; 58263400; 58263414-58263415; 58263772; 58264200; 58264210; 58264220; 58264635; 58264688; 58264772; 58264814-58264815; 58264935; 58265400; 58265414-58265416; 58265513; 58265635; 58265688; 58265772; 58265910; 58265935; 58266400; 58266414; 58266510; 58266772; 58267400; 58267414-58267416; 58267513; 58267688; 58267772; 58267910; 58267970; 58267980; 58268381-58268382; 58268400; 58268414-58268417; 58268681-58268682; 58268688; 58268731-58268732; 58268775; 58268861-58268862; 58268981-58268982; 58269391-58269392; 58269410; 58269414-58269418; 58269420; 58269500; 58269513; 58269635; 58269688; 58269775; 58269935; 58269961-58269962; 58271400; 58271414-58271423; 58271450; 58271460; 58271470; 58271635; 58271688; 58271771; 58271935; 58272400; 58272410; 58272414-58272416; 58272500; 58272635; 58272772; 58272935; 58273335; 58273400; 58273414-58273418; 58273424; 58273500-58273501; 58273514-58273517; 58273635; 58273688; 58273773; 58273935; 58274300; 58274310-58274311; 58274330; 58274335; 58274410; 58274414-58274418; 58274435; 58274500; 58274514-58274515; 58274635; 58274688; 58274772; 58274935; 58275311; 58275400; 58275414-58275417; 58275424; 58275500; 58275514; 58275516; 58275688; 58275710; 58275910; 58275920; 58275930; 58275940; 58275950; 58275970; 58275980; 58276312; 58276335; 58276412; 58276414-58276426; 58276510; 58276514-58276519; 58276635; 58276688; 58276772; 58276935; 58277400; 58277414-58277415; 58277510-58277515; 58277772; 58278400; 58278414-58278416; 58278510-58278511; 58279400; 58279414-58279417; 58279513; 58279775; 58279881-58279882; 58279971-58279972; 58281314-58281317; 58281335; 58281361; 58281371; 58281415-58281424; 58281431; 58281435; 58281500; 58281514-58281520; 58281571; 58281581; 58281600; 58281635; 58281688; 58281700; 58281772; 58281911; 58281921; 58281931; 58281935; 58282400; 58282414-58282416; 58282500; 58282514; 58282641; 58282651; 58282688; 58282774; 58282841; 58282851; 58282971; 58282981; 58283400; 58283414-58283415; 58283424; 58283500; 58283514-58283515; 58283631; 58283635; 58283641; 58283688; 58283741; 58283751; 58283774; 58283831; 58283891; 58283911; 58283921; 58283935; 58284400; 58284414-58284417; 58284513; 58284631; 58284641; 58284941; 58284951; 58285335; 58285414-58285415; 58285500; 58285513; 58285600; 58285614-58285618; 58285635; 58285688; 58285761; 58285771; 58285774; 58285841; 58285851; 58285935; 58286335; 58286415-58286418; 58286424; 58286514-58286518; 58286524; 58286600; 58286635; 58286688; 58286700; 58286712-58286719; 58286731; 58286741; 58286774; 58286800; 58286861; 58286871; 58286935; 58287400; 58287414-58287416; 58287611; 58287621; 58287631; 58288400; 58288414-58288415; 58288461; 58288471; 58288561; 58288571; 58288631; 58288641; 58288774; 58288831; 58288841; 58289400; 58289414-58289417; 58289513; 58289561; 58289961; 58291300; 58291314-58291318; 58291361; 58291371; 58291381; 58291400; 58291500; 58291635; 58291688; 58291774; 58291935; 58291961; 58291971; 58291981; 58292241; 58292291; 58292400; 58292414-58292416; 58292421; 58292431; 58292514-58292515; 58292591; 58292774; 58293241; 58293251; 58293400; 58293414-58293418; 58293500; 58293514-58293519; 58293635; 58293688; 58293721; 58293774; 58293781; 58293791; 58293935; 58293961; 58293971; 58294211; 58294221; 58294400; 58294414-58294419; 58294514-58294518; 58294561; 58294571; 58294621; 58294631; 58294731; 58294741; 58294774; 58294841; 58294851; 58295311; 58295321; 58295331; 58295335; 58295341; 58295400; 58295414-58295418; 58295500; 58295635; 58295688; 58295774; 58295935; 58296400; 58296414-58296416; 58296611; 58296621</t>
  </si>
  <si>
    <t>VENEZUELA-PREM SVC</t>
  </si>
  <si>
    <t>58415217</t>
  </si>
  <si>
    <t>VIETNAM</t>
  </si>
  <si>
    <t>84</t>
  </si>
  <si>
    <t>VIETNAM-MOBILE MOBIFONE</t>
  </si>
  <si>
    <t>84120-84122; 84126; 84128; 8470; 8476-8479; 8489-8490; 8493</t>
  </si>
  <si>
    <t>VIETNAM-MOBILE OTHERS</t>
  </si>
  <si>
    <t>84186; 84188; 84199; 84522-84523; 8456; 8458-8459; 849</t>
  </si>
  <si>
    <t>VIETNAM-MOBILE VIETTEL</t>
  </si>
  <si>
    <t>8431-8439; 8486; 8496-8498</t>
  </si>
  <si>
    <t>VIETNAM-MOBILE VINAPHONE</t>
  </si>
  <si>
    <t>84123-84125; 84127; 84129; 8481-8485; 8488; 8491; 8494</t>
  </si>
  <si>
    <t>VIETNAM-SPECIAL SERVICES</t>
  </si>
  <si>
    <t>84106; 84108-84109; 841800; 84198; 84801</t>
  </si>
  <si>
    <t>VIETNAM-VAS2</t>
  </si>
  <si>
    <t>8419008-8419009</t>
  </si>
  <si>
    <t>VIETNAM-VAS3</t>
  </si>
  <si>
    <t>841900</t>
  </si>
  <si>
    <t>VIETNAM-VSAT</t>
  </si>
  <si>
    <t>84672</t>
  </si>
  <si>
    <t>VOXBONE UN</t>
  </si>
  <si>
    <t>888</t>
  </si>
  <si>
    <t>WALLIS &amp; FUTUNA</t>
  </si>
  <si>
    <t>681</t>
  </si>
  <si>
    <t>YEMEN</t>
  </si>
  <si>
    <t>967</t>
  </si>
  <si>
    <t>YEMEN-MOBILE MTN</t>
  </si>
  <si>
    <t>96773</t>
  </si>
  <si>
    <t>YEMEN-MOBILE OTHERS</t>
  </si>
  <si>
    <t>96770; 96777-96778</t>
  </si>
  <si>
    <t>YEMEN-MOBILE SABAFON</t>
  </si>
  <si>
    <t>96771</t>
  </si>
  <si>
    <t>ZAMBIA</t>
  </si>
  <si>
    <t>260</t>
  </si>
  <si>
    <t>ZAMBIA-MOBILE AIRTEL</t>
  </si>
  <si>
    <t>26057; 26077; 26097</t>
  </si>
  <si>
    <t>ZAMBIA-MOBILE MTN</t>
  </si>
  <si>
    <t>26076; 26096</t>
  </si>
  <si>
    <t>ZAMBIA-MOBILE ZAMTEL</t>
  </si>
  <si>
    <t>26075; 26095</t>
  </si>
  <si>
    <t>ZIMBABWE</t>
  </si>
  <si>
    <t>263</t>
  </si>
  <si>
    <t>ZIMBABWE-MOBILE ECONET</t>
  </si>
  <si>
    <t>26377-26378</t>
  </si>
  <si>
    <t>ZIMBABWE-MOBILE TELECEL</t>
  </si>
  <si>
    <t>26373</t>
  </si>
  <si>
    <t>ZIMBABWE-MOBILE TELONE</t>
  </si>
  <si>
    <t>26371-26372</t>
  </si>
  <si>
    <t>ZIMBABWE-PREMIUM SVC</t>
  </si>
  <si>
    <t>263953</t>
  </si>
  <si>
    <t>-</t>
  </si>
  <si>
    <t>%</t>
  </si>
  <si>
    <t>Nigel</t>
  </si>
  <si>
    <t>Warren</t>
  </si>
  <si>
    <t>Junaid</t>
  </si>
  <si>
    <t>Ichibaan Logic</t>
  </si>
  <si>
    <t>TPL Premium_AUS</t>
  </si>
  <si>
    <t>+65 6370 5726</t>
  </si>
  <si>
    <t>Nigel.Warren@team.telstra.com</t>
  </si>
  <si>
    <t>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</si>
</sst>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/m/yyyy"/>
    <numFmt numFmtId="165" formatCode="#,##0.0000"/>
    <numFmt numFmtId="166" formatCode="mm/dd/yy"/>
    <numFmt numFmtId="167" formatCode="0.0000"/>
  </numFmts>
  <fonts count="20">
    <font>
      <sz val="10"/>
      <name val="Arial"/>
    </font>
    <font>
      <sz val="12"/>
      <name val="Arial"/>
      <family val="2"/>
    </font>
    <font>
      <b/>
      <sz val="12"/>
      <color indexed="8"/>
      <name val="Frutiger 45 Light"/>
      <family val="2"/>
    </font>
    <font>
      <b/>
      <sz val="12"/>
      <name val="Frutiger 45 Light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18"/>
      <color indexed="8"/>
      <name val="Arial"/>
      <family val="2"/>
    </font>
    <font>
      <b/>
      <sz val="18"/>
      <name val="Arial"/>
      <family val="2"/>
    </font>
    <font>
      <b/>
      <sz val="16"/>
      <name val="Arial"/>
      <family val="2"/>
    </font>
    <font>
      <b/>
      <sz val="16"/>
      <color indexed="12"/>
      <name val="Arial"/>
      <family val="2"/>
    </font>
    <font>
      <sz val="10"/>
      <name val="Arial"/>
      <family val="2"/>
    </font>
    <font>
      <b/>
      <sz val="16"/>
      <color indexed="8"/>
      <name val="Arial"/>
      <family val="2"/>
    </font>
    <font>
      <sz val="14"/>
      <name val="Arial"/>
      <family val="2"/>
    </font>
    <font>
      <b/>
      <sz val="10.5"/>
      <name val="Arial"/>
      <family val="2"/>
    </font>
    <font>
      <b/>
      <sz val="10.5"/>
      <color indexed="8"/>
      <name val="Arial"/>
      <family val="2"/>
    </font>
    <font>
      <sz val="12"/>
      <name val="Arial"/>
      <family val="2"/>
    </font>
    <font>
      <sz val="10.5"/>
      <name val="Arial"/>
      <family val="2"/>
    </font>
    <font>
      <b/>
      <sz val="10.5"/>
      <color indexed="12"/>
      <name val="Arial"/>
      <family val="2"/>
    </font>
    <font>
      <sz val="12"/>
      <color indexed="9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49" fontId="0" fillId="0" borderId="0" xfId="0" applyNumberFormat="1" applyAlignment="1">
      <alignment wrapText="1"/>
    </xf>
    <xf numFmtId="0" fontId="18" fillId="2" borderId="0" xfId="0" applyFont="1" applyFill="1"/>
    <xf numFmtId="0" fontId="1" fillId="2" borderId="0" xfId="0" applyFont="1" applyFill="1"/>
    <xf numFmtId="0" fontId="1" fillId="2" borderId="0" xfId="0" applyFont="1" applyFill="1" applyAlignment="1">
      <alignment horizontal="left"/>
    </xf>
    <xf numFmtId="0" fontId="6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6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1" fillId="2" borderId="0" xfId="0" applyFont="1" applyFill="1" applyAlignment="1">
      <alignment horizontal="center"/>
    </xf>
    <xf numFmtId="0" fontId="8" fillId="2" borderId="0" xfId="0" applyFont="1" applyFill="1" applyAlignment="1">
      <alignment horizontal="left"/>
    </xf>
    <xf numFmtId="0" fontId="10" fillId="2" borderId="0" xfId="0" applyFont="1" applyFill="1" applyAlignment="1">
      <alignment horizontal="centerContinuous"/>
    </xf>
    <xf numFmtId="15" fontId="11" fillId="2" borderId="0" xfId="0" applyNumberFormat="1" applyFont="1" applyFill="1" applyAlignment="1">
      <alignment horizontal="left" vertical="center"/>
    </xf>
    <xf numFmtId="0" fontId="10" fillId="2" borderId="0" xfId="0" applyFont="1" applyFill="1"/>
    <xf numFmtId="0" fontId="10" fillId="2" borderId="0" xfId="0" applyFont="1" applyFill="1" applyAlignment="1">
      <alignment vertical="top" wrapText="1"/>
    </xf>
    <xf numFmtId="164" fontId="9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/>
    </xf>
    <xf numFmtId="0" fontId="12" fillId="2" borderId="0" xfId="0" applyFont="1" applyFill="1"/>
    <xf numFmtId="164" fontId="8" fillId="2" borderId="0" xfId="0" applyNumberFormat="1" applyFont="1" applyFill="1" applyAlignment="1">
      <alignment horizontal="left" vertical="center"/>
    </xf>
    <xf numFmtId="49" fontId="5" fillId="2" borderId="0" xfId="0" applyNumberFormat="1" applyFont="1" applyFill="1" applyAlignment="1">
      <alignment horizontal="left"/>
    </xf>
    <xf numFmtId="0" fontId="5" fillId="2" borderId="0" xfId="0" applyFont="1" applyFill="1"/>
    <xf numFmtId="0" fontId="13" fillId="2" borderId="0" xfId="0" applyFont="1" applyFill="1"/>
    <xf numFmtId="0" fontId="14" fillId="2" borderId="0" xfId="0" applyFont="1" applyFill="1"/>
    <xf numFmtId="0" fontId="0" fillId="2" borderId="0" xfId="0" applyFill="1"/>
    <xf numFmtId="0" fontId="13" fillId="2" borderId="0" xfId="0" applyFont="1" applyFill="1" applyAlignment="1">
      <alignment horizontal="right"/>
    </xf>
    <xf numFmtId="0" fontId="14" fillId="2" borderId="0" xfId="0" applyFont="1" applyFill="1" applyAlignment="1">
      <alignment horizontal="left"/>
    </xf>
    <xf numFmtId="0" fontId="15" fillId="2" borderId="0" xfId="0" applyFont="1" applyFill="1" applyAlignment="1">
      <alignment horizontal="centerContinuous"/>
    </xf>
    <xf numFmtId="0" fontId="13" fillId="2" borderId="0" xfId="0" applyFont="1" applyFill="1" applyAlignment="1">
      <alignment vertical="top"/>
    </xf>
    <xf numFmtId="0" fontId="16" fillId="2" borderId="0" xfId="0" applyFont="1" applyFill="1"/>
    <xf numFmtId="165" fontId="16" fillId="2" borderId="0" xfId="0" applyNumberFormat="1" applyFont="1" applyFill="1"/>
    <xf numFmtId="164" fontId="14" fillId="2" borderId="0" xfId="0" applyNumberFormat="1" applyFont="1" applyFill="1" applyAlignment="1">
      <alignment horizontal="left" vertical="center"/>
    </xf>
    <xf numFmtId="0" fontId="13" fillId="2" borderId="0" xfId="0" applyFont="1" applyFill="1" applyAlignment="1">
      <alignment horizontal="left"/>
    </xf>
    <xf numFmtId="0" fontId="17" fillId="2" borderId="0" xfId="0" quotePrefix="1" applyFont="1" applyFill="1"/>
    <xf numFmtId="0" fontId="16" fillId="2" borderId="0" xfId="0" applyFont="1" applyFill="1" applyAlignment="1">
      <alignment horizontal="center"/>
    </xf>
    <xf numFmtId="0" fontId="17" fillId="2" borderId="0" xfId="0" applyFont="1" applyFill="1"/>
    <xf numFmtId="164" fontId="13" fillId="2" borderId="0" xfId="0" applyNumberFormat="1" applyFont="1" applyFill="1" applyAlignment="1">
      <alignment horizontal="left" vertical="center"/>
    </xf>
    <xf numFmtId="164" fontId="17" fillId="2" borderId="0" xfId="0" applyNumberFormat="1" applyFont="1" applyFill="1" applyAlignment="1">
      <alignment horizontal="left" vertical="center"/>
    </xf>
    <xf numFmtId="3" fontId="16" fillId="2" borderId="0" xfId="0" applyNumberFormat="1" applyFont="1" applyFill="1" applyAlignment="1">
      <alignment horizontal="center"/>
    </xf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horizontal="left" vertical="top"/>
    </xf>
    <xf numFmtId="0" fontId="2" fillId="2" borderId="0" xfId="0" applyFont="1" applyFill="1" applyAlignment="1">
      <alignment horizontal="left"/>
    </xf>
    <xf numFmtId="14" fontId="3" fillId="2" borderId="0" xfId="0" applyNumberFormat="1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wrapText="1"/>
    </xf>
    <xf numFmtId="0" fontId="0" fillId="2" borderId="2" xfId="0" applyFill="1" applyBorder="1" applyAlignment="1">
      <alignment horizontal="center"/>
    </xf>
    <xf numFmtId="167" fontId="0" fillId="2" borderId="3" xfId="0" applyNumberFormat="1" applyFill="1" applyBorder="1" applyAlignment="1">
      <alignment horizontal="right" wrapText="1"/>
    </xf>
    <xf numFmtId="0" fontId="0" fillId="2" borderId="3" xfId="0" applyFill="1" applyBorder="1" applyAlignment="1">
      <alignment horizontal="center" wrapText="1"/>
    </xf>
    <xf numFmtId="0" fontId="0" fillId="2" borderId="0" xfId="0" applyFill="1" applyAlignment="1">
      <alignment wrapText="1"/>
    </xf>
    <xf numFmtId="49" fontId="0" fillId="2" borderId="0" xfId="0" applyNumberFormat="1" applyFill="1" applyAlignment="1">
      <alignment horizontal="right" wrapText="1"/>
    </xf>
    <xf numFmtId="0" fontId="0" fillId="2" borderId="0" xfId="0" applyFill="1" applyAlignment="1">
      <alignment horizontal="right"/>
    </xf>
    <xf numFmtId="167" fontId="0" fillId="2" borderId="0" xfId="0" applyNumberFormat="1" applyFill="1" applyAlignment="1">
      <alignment horizontal="right"/>
    </xf>
    <xf numFmtId="0" fontId="16" fillId="2" borderId="0" xfId="0" applyFont="1" applyFill="1" applyAlignment="1">
      <alignment horizontal="left"/>
    </xf>
    <xf numFmtId="49" fontId="8" fillId="2" borderId="0" xfId="0" applyNumberFormat="1" applyFont="1" applyFill="1" applyAlignment="1">
      <alignment horizontal="left" vertical="center"/>
    </xf>
    <xf numFmtId="49" fontId="2" fillId="0" borderId="0" xfId="0" applyNumberFormat="1" applyFont="1"/>
    <xf numFmtId="49" fontId="4" fillId="0" borderId="1" xfId="0" applyNumberFormat="1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49" fontId="0" fillId="0" borderId="2" xfId="0" applyNumberFormat="1" applyBorder="1" applyAlignment="1">
      <alignment wrapText="1"/>
    </xf>
    <xf numFmtId="0" fontId="0" fillId="0" borderId="2" xfId="0" applyBorder="1" applyAlignment="1">
      <alignment horizontal="center"/>
    </xf>
    <xf numFmtId="49" fontId="0" fillId="0" borderId="3" xfId="0" applyNumberFormat="1" applyBorder="1" applyAlignment="1">
      <alignment horizontal="right" vertical="top" wrapText="1"/>
    </xf>
    <xf numFmtId="0" fontId="0" fillId="0" borderId="3" xfId="0" applyBorder="1" applyAlignment="1">
      <alignment horizontal="right" vertical="top" wrapText="1"/>
    </xf>
    <xf numFmtId="166" fontId="3" fillId="0" borderId="0" xfId="0" applyNumberFormat="1" applyFont="1" applyAlignment="1">
      <alignment horizontal="left" vertical="center"/>
    </xf>
    <xf numFmtId="1" fontId="0" fillId="2" borderId="3" xfId="0" applyNumberFormat="1" applyFill="1" applyBorder="1" applyAlignment="1">
      <alignment horizontal="right" wrapText="1"/>
    </xf>
    <xf numFmtId="0" fontId="0" fillId="0" borderId="3" xfId="0" applyBorder="1" applyAlignment="1">
      <alignment horizontal="center" vertical="top" wrapText="1"/>
    </xf>
    <xf numFmtId="0" fontId="0" fillId="2" borderId="3" xfId="0" applyFill="1" applyBorder="1" applyAlignment="1">
      <alignment horizontal="left" wrapText="1"/>
    </xf>
    <xf numFmtId="0" fontId="10" fillId="2" borderId="0" xfId="0" applyFont="1" applyFill="1" applyAlignment="1">
      <alignment horizontal="center"/>
    </xf>
    <xf numFmtId="0" fontId="10" fillId="2" borderId="2" xfId="0" applyFont="1" applyFill="1" applyBorder="1" applyAlignment="1">
      <alignment horizontal="center"/>
    </xf>
    <xf numFmtId="14" fontId="10" fillId="2" borderId="3" xfId="0" applyNumberFormat="1" applyFont="1" applyFill="1" applyBorder="1" applyAlignment="1">
      <alignment horizontal="center" wrapText="1"/>
    </xf>
    <xf numFmtId="14" fontId="11" fillId="2" borderId="0" xfId="0" applyNumberFormat="1" applyFont="1" applyFill="1" applyAlignment="1">
      <alignment horizontal="left" vertical="center"/>
    </xf>
    <xf numFmtId="14" fontId="13" fillId="2" borderId="0" xfId="0" applyNumberFormat="1" applyFont="1" applyFill="1" applyAlignment="1">
      <alignment horizontal="left" vertical="center"/>
    </xf>
    <xf numFmtId="49" fontId="2" fillId="2" borderId="0" xfId="0" applyNumberFormat="1" applyFont="1" applyFill="1"/>
    <xf numFmtId="0" fontId="0" fillId="0" borderId="0" xfId="0"/>
    <xf numFmtId="14" fontId="3" fillId="2" borderId="0" xfId="0" applyNumberFormat="1" applyFont="1" applyFill="1" applyAlignment="1">
      <alignment horizontal="left" vertical="center"/>
    </xf>
    <xf numFmtId="14" fontId="0" fillId="0" borderId="0" xfId="0" applyNumberFormat="1"/>
    <xf numFmtId="49" fontId="2" fillId="2" borderId="0" xfId="0" applyNumberFormat="1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tyles" Target="styles.xml" /><Relationship Id="rId5" Type="http://schemas.openxmlformats.org/officeDocument/2006/relationships/theme" Target="theme/theme1.xml" /><Relationship Id="rId4" Type="http://schemas.openxmlformats.org/officeDocument/2006/relationships/worksheet" Target="worksheets/sheet4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457200</xdr:colOff>
      <xdr:row>1</xdr:row>
      <xdr:rowOff>104775</xdr:rowOff>
    </xdr:from>
    <xdr:to>
      <xdr:col>11</xdr:col>
      <xdr:colOff>533400</xdr:colOff>
      <xdr:row>4</xdr:row>
      <xdr:rowOff>123825</xdr:rowOff>
    </xdr:to>
    <xdr:pic>
      <xdr:nvPicPr>
        <xdr:cNvPr id="4131" name="Picture 1">
          <a:extLst>
            <a:ext uri="{FF2B5EF4-FFF2-40B4-BE49-F238E27FC236}">
              <a16:creationId xmlns:a16="http://schemas.microsoft.com/office/drawing/2014/main" id="{00000000-0008-0000-0000-000023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34475" y="295275"/>
          <a:ext cx="1905000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819150</xdr:colOff>
      <xdr:row>1</xdr:row>
      <xdr:rowOff>114300</xdr:rowOff>
    </xdr:from>
    <xdr:to>
      <xdr:col>6</xdr:col>
      <xdr:colOff>514350</xdr:colOff>
      <xdr:row>5</xdr:row>
      <xdr:rowOff>57150</xdr:rowOff>
    </xdr:to>
    <xdr:pic>
      <xdr:nvPicPr>
        <xdr:cNvPr id="5155" name="Picture 1">
          <a:extLst>
            <a:ext uri="{FF2B5EF4-FFF2-40B4-BE49-F238E27FC236}">
              <a16:creationId xmlns:a16="http://schemas.microsoft.com/office/drawing/2014/main" id="{00000000-0008-0000-0200-000023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1750" y="276225"/>
          <a:ext cx="1905000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1076325</xdr:colOff>
      <xdr:row>2</xdr:row>
      <xdr:rowOff>28575</xdr:rowOff>
    </xdr:from>
    <xdr:to>
      <xdr:col>10</xdr:col>
      <xdr:colOff>752475</xdr:colOff>
      <xdr:row>5</xdr:row>
      <xdr:rowOff>123825</xdr:rowOff>
    </xdr:to>
    <xdr:pic>
      <xdr:nvPicPr>
        <xdr:cNvPr id="3120" name="Picture 1">
          <a:extLst>
            <a:ext uri="{FF2B5EF4-FFF2-40B4-BE49-F238E27FC236}">
              <a16:creationId xmlns:a16="http://schemas.microsoft.com/office/drawing/2014/main" id="{00000000-0008-0000-0300-000030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53725" y="352425"/>
          <a:ext cx="1905000" cy="581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G33"/>
  <sheetViews>
    <sheetView zoomScale="75" workbookViewId="0">
      <selection activeCell="B4" sqref="B4"/>
    </sheetView>
  </sheetViews>
  <sheetFormatPr defaultRowHeight="15"/>
  <cols>
    <col min="1" max="5" width="9.140625" style="3"/>
    <col min="6" max="6" width="66.140625" style="3" customWidth="1"/>
    <col min="7" max="16384" width="9.140625" style="3"/>
  </cols>
  <sheetData>
    <row r="1" spans="1:7">
      <c r="A1" s="2"/>
    </row>
    <row r="5" spans="1:7" s="4" customFormat="1"/>
    <row r="6" spans="1:7" s="4" customFormat="1"/>
    <row r="7" spans="1:7" s="4" customFormat="1" ht="23.25">
      <c r="E7" s="5" t="s">
        <v>0</v>
      </c>
    </row>
    <row r="8" spans="1:7" s="4" customFormat="1" ht="23.25">
      <c r="E8" s="6" t="s">
        <v>1</v>
      </c>
    </row>
    <row r="9" spans="1:7" s="4" customFormat="1" ht="23.25">
      <c r="E9" s="5" t="str">
        <f>CONCATENATE(Data!B14," Quality")</f>
        <v>%%=MasterInfo.PRODUCT_NAME Quality</v>
      </c>
      <c r="F9" s="7"/>
      <c r="G9" s="8"/>
    </row>
    <row r="10" spans="1:7" s="4" customFormat="1" ht="23.25">
      <c r="E10" s="6" t="s">
        <v>2</v>
      </c>
    </row>
    <row r="11" spans="1:7" s="4" customFormat="1">
      <c r="E11" s="9"/>
    </row>
    <row r="12" spans="1:7" s="4" customFormat="1" ht="23.25">
      <c r="E12" s="6" t="s">
        <v>90</v>
      </c>
    </row>
    <row r="13" spans="1:7" s="4" customFormat="1">
      <c r="E13" s="9"/>
    </row>
    <row r="14" spans="1:7" s="4" customFormat="1" ht="23.25">
      <c r="E14" s="6" t="s">
        <v>2558</v>
      </c>
    </row>
    <row r="15" spans="1:7" s="4" customFormat="1"/>
    <row r="18" spans="2:6" ht="20.25">
      <c r="B18" s="10" t="s">
        <v>24</v>
      </c>
      <c r="D18" s="11"/>
      <c r="E18" s="11"/>
      <c r="F18" s="52"/>
    </row>
    <row r="19" spans="2:6" ht="20.25">
      <c r="B19" s="10"/>
      <c r="D19" s="11"/>
      <c r="E19" s="11"/>
      <c r="F19" s="12"/>
    </row>
    <row r="20" spans="2:6" ht="20.25">
      <c r="B20" s="10" t="s">
        <v>3</v>
      </c>
      <c r="D20" s="11"/>
      <c r="E20" s="11"/>
      <c r="F20" s="67" t="s">
        <v>80</v>
      </c>
    </row>
    <row r="21" spans="2:6">
      <c r="B21" s="13"/>
      <c r="D21" s="13"/>
      <c r="E21" s="13"/>
      <c r="F21" s="13"/>
    </row>
    <row r="22" spans="2:6">
      <c r="B22" s="13"/>
      <c r="D22" s="13"/>
      <c r="E22" s="13"/>
      <c r="F22" s="13"/>
    </row>
    <row r="23" spans="2:6">
      <c r="B23" s="13"/>
      <c r="D23" s="13"/>
      <c r="E23" s="13"/>
      <c r="F23" s="13"/>
    </row>
    <row r="24" spans="2:6">
      <c r="B24" s="13"/>
      <c r="D24" s="13"/>
      <c r="E24" s="13"/>
      <c r="F24" s="13"/>
    </row>
    <row r="25" spans="2:6">
      <c r="B25" s="13"/>
      <c r="D25" s="13"/>
      <c r="E25" s="13"/>
      <c r="F25" s="14"/>
    </row>
    <row r="26" spans="2:6" ht="20.25">
      <c r="B26" s="13"/>
      <c r="D26" s="13"/>
      <c r="E26" s="13"/>
      <c r="F26" s="15"/>
    </row>
    <row r="27" spans="2:6" ht="20.25">
      <c r="B27" s="16" t="s">
        <v>4</v>
      </c>
      <c r="D27" s="17"/>
      <c r="E27" s="17"/>
      <c r="F27" s="18" t="str">
        <f>CONCATENATE(Data!B9," ",Data!B10)</f>
        <v>%%=SenderInfo.FIRST_NAME %%=SenderInfo.LAST_NAME</v>
      </c>
    </row>
    <row r="28" spans="2:6" ht="18">
      <c r="B28" s="16"/>
      <c r="D28" s="17"/>
      <c r="E28" s="17"/>
      <c r="F28" s="16"/>
    </row>
    <row r="29" spans="2:6" ht="18">
      <c r="B29" s="16" t="s">
        <v>5</v>
      </c>
      <c r="F29" s="19" t="s">
        <v>2651</v>
      </c>
    </row>
    <row r="30" spans="2:6" ht="18">
      <c r="B30" s="16"/>
      <c r="F30" s="16"/>
    </row>
    <row r="31" spans="2:6" ht="18">
      <c r="B31" s="16" t="s">
        <v>6</v>
      </c>
      <c r="F31" s="19"/>
    </row>
    <row r="32" spans="2:6" ht="18">
      <c r="B32" s="16"/>
      <c r="F32" s="16"/>
    </row>
    <row r="33" spans="2:6" ht="18">
      <c r="B33" s="16" t="s">
        <v>7</v>
      </c>
      <c r="F33" s="20" t="s">
        <v>2652</v>
      </c>
    </row>
  </sheetData>
  <phoneticPr fontId="0" type="noConversion"/>
  <pageMargins left="0.75" right="0.75" top="1" bottom="1" header="0.5" footer="0.5"/>
  <pageSetup paperSize="9" scale="73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B12:G61"/>
  <sheetViews>
    <sheetView zoomScale="85" zoomScaleNormal="85" workbookViewId="0">
      <selection activeCell="G7" sqref="G7"/>
    </sheetView>
  </sheetViews>
  <sheetFormatPr defaultRowHeight="12.75"/>
  <cols>
    <col min="1" max="1" width="9.140625" style="23"/>
    <col min="2" max="2" width="24.5703125" style="23" customWidth="1"/>
    <col min="3" max="3" width="11.7109375" style="23" customWidth="1"/>
    <col min="4" max="4" width="38" style="23" customWidth="1"/>
    <col min="5" max="5" width="24" style="23" bestFit="1" customWidth="1"/>
    <col min="6" max="16384" width="9.140625" style="23"/>
  </cols>
  <sheetData>
    <row r="12" spans="2:7" ht="13.5">
      <c r="B12" s="21" t="s">
        <v>8</v>
      </c>
      <c r="C12" s="22" t="s">
        <v>90</v>
      </c>
      <c r="E12" s="24" t="s">
        <v>24</v>
      </c>
      <c r="F12" s="25"/>
    </row>
    <row r="13" spans="2:7" ht="15">
      <c r="B13" s="21" t="s">
        <v>9</v>
      </c>
      <c r="C13" s="26"/>
      <c r="D13" s="13"/>
      <c r="E13" s="13"/>
      <c r="F13" s="13"/>
      <c r="G13" s="13"/>
    </row>
    <row r="14" spans="2:7" ht="13.5">
      <c r="B14" s="27"/>
      <c r="C14" s="28"/>
      <c r="D14" s="24"/>
      <c r="E14" s="29"/>
      <c r="F14" s="21"/>
      <c r="G14" s="21"/>
    </row>
    <row r="15" spans="2:7" ht="13.5">
      <c r="B15" s="21" t="s">
        <v>10</v>
      </c>
      <c r="C15" s="28"/>
      <c r="D15" s="28"/>
      <c r="E15" s="29"/>
      <c r="F15" s="28"/>
      <c r="G15" s="28"/>
    </row>
    <row r="16" spans="2:7" ht="13.5">
      <c r="B16" s="21"/>
      <c r="C16" s="28"/>
      <c r="D16" s="28"/>
      <c r="E16" s="29"/>
      <c r="F16" s="28"/>
      <c r="G16" s="28"/>
    </row>
    <row r="17" spans="2:7" ht="13.5">
      <c r="B17" s="28" t="s">
        <v>11</v>
      </c>
      <c r="C17" s="13"/>
      <c r="D17" s="68" t="s">
        <v>80</v>
      </c>
      <c r="E17" s="28"/>
      <c r="F17" s="13"/>
      <c r="G17" s="13"/>
    </row>
    <row r="18" spans="2:7" ht="13.5">
      <c r="B18" s="28" t="s">
        <v>12</v>
      </c>
      <c r="C18" s="13"/>
      <c r="D18" s="30" t="s">
        <v>2653</v>
      </c>
      <c r="E18" s="28"/>
      <c r="F18" s="28"/>
      <c r="G18" s="28"/>
    </row>
    <row r="19" spans="2:7" ht="13.5">
      <c r="B19" s="28" t="s">
        <v>13</v>
      </c>
      <c r="C19" s="13"/>
      <c r="D19" s="31"/>
      <c r="E19" s="32"/>
      <c r="F19" s="28"/>
      <c r="G19" s="28"/>
    </row>
    <row r="20" spans="2:7" ht="13.5">
      <c r="B20" s="28"/>
      <c r="C20" s="13"/>
      <c r="D20" s="31"/>
      <c r="E20" s="32"/>
      <c r="F20" s="28"/>
      <c r="G20" s="28"/>
    </row>
    <row r="21" spans="2:7" ht="13.5">
      <c r="B21" s="28"/>
      <c r="C21" s="13"/>
      <c r="D21" s="31"/>
      <c r="E21" s="32"/>
      <c r="F21" s="28"/>
      <c r="G21" s="28"/>
    </row>
    <row r="22" spans="2:7" ht="13.5">
      <c r="B22" s="28" t="s">
        <v>87</v>
      </c>
      <c r="C22" s="13"/>
      <c r="D22" s="31"/>
      <c r="E22" s="32"/>
      <c r="F22" s="28"/>
      <c r="G22" s="28"/>
    </row>
    <row r="23" spans="2:7" ht="13.5">
      <c r="B23" s="28" t="s">
        <v>88</v>
      </c>
      <c r="C23" s="33"/>
      <c r="D23" s="28"/>
      <c r="E23" s="28"/>
      <c r="F23" s="28"/>
      <c r="G23" s="28"/>
    </row>
    <row r="24" spans="2:7" ht="13.5">
      <c r="B24" s="51" t="s">
        <v>89</v>
      </c>
      <c r="C24" s="33"/>
      <c r="D24" s="28"/>
      <c r="E24" s="28"/>
      <c r="F24" s="28"/>
      <c r="G24" s="28"/>
    </row>
    <row r="25" spans="2:7" ht="13.5">
      <c r="B25" s="31"/>
      <c r="C25" s="33"/>
      <c r="D25" s="28"/>
      <c r="E25" s="28"/>
      <c r="F25" s="28"/>
      <c r="G25" s="28"/>
    </row>
    <row r="26" spans="2:7" ht="13.5">
      <c r="B26" s="28" t="s">
        <v>30</v>
      </c>
      <c r="C26" s="33"/>
      <c r="D26" s="28"/>
      <c r="E26" s="28"/>
      <c r="F26" s="28"/>
      <c r="G26" s="28"/>
    </row>
    <row r="27" spans="2:7" ht="13.5">
      <c r="B27" s="28" t="s">
        <v>31</v>
      </c>
      <c r="C27" s="33"/>
      <c r="D27" s="28"/>
      <c r="E27" s="28"/>
      <c r="F27" s="28"/>
      <c r="G27" s="28"/>
    </row>
    <row r="28" spans="2:7" ht="13.5">
      <c r="B28" s="28" t="s">
        <v>32</v>
      </c>
      <c r="C28" s="33"/>
      <c r="D28" s="28"/>
      <c r="E28" s="28"/>
      <c r="F28" s="28"/>
      <c r="G28" s="28"/>
    </row>
    <row r="29" spans="2:7" ht="13.5">
      <c r="B29" s="28"/>
      <c r="C29" s="33"/>
      <c r="D29" s="28"/>
      <c r="E29" s="28"/>
      <c r="F29" s="28"/>
      <c r="G29" s="28"/>
    </row>
    <row r="30" spans="2:7" ht="13.5">
      <c r="B30" s="28"/>
      <c r="C30" s="33"/>
      <c r="D30" s="28"/>
      <c r="E30" s="28"/>
      <c r="F30" s="28"/>
      <c r="G30" s="28"/>
    </row>
    <row r="31" spans="2:7" ht="13.5">
      <c r="B31" s="28"/>
      <c r="C31" s="33"/>
      <c r="D31" s="28"/>
      <c r="E31" s="28"/>
      <c r="F31" s="28"/>
      <c r="G31" s="28"/>
    </row>
    <row r="32" spans="2:7" ht="13.5">
      <c r="B32" s="28"/>
      <c r="C32" s="33"/>
      <c r="D32" s="28"/>
      <c r="E32" s="28"/>
      <c r="F32" s="28"/>
      <c r="G32" s="28"/>
    </row>
    <row r="33" spans="2:7" ht="13.5">
      <c r="B33" s="28"/>
      <c r="C33" s="33"/>
      <c r="D33" s="28"/>
      <c r="E33" s="28"/>
      <c r="F33" s="28"/>
      <c r="G33" s="28"/>
    </row>
    <row r="34" spans="2:7" ht="13.5">
      <c r="B34" s="28"/>
      <c r="C34" s="33"/>
      <c r="D34" s="28"/>
      <c r="E34" s="28"/>
      <c r="F34" s="28"/>
      <c r="G34" s="28"/>
    </row>
    <row r="35" spans="2:7" ht="13.5">
      <c r="B35" s="28"/>
      <c r="C35" s="33"/>
      <c r="D35" s="28"/>
      <c r="E35" s="28"/>
      <c r="F35" s="28"/>
      <c r="G35" s="28"/>
    </row>
    <row r="36" spans="2:7" ht="13.5">
      <c r="B36" s="28"/>
      <c r="C36" s="33"/>
      <c r="D36" s="28"/>
      <c r="E36" s="28"/>
      <c r="F36" s="28"/>
      <c r="G36" s="28"/>
    </row>
    <row r="37" spans="2:7" ht="13.5">
      <c r="B37" s="28"/>
      <c r="C37" s="31"/>
      <c r="D37" s="28"/>
      <c r="E37" s="28"/>
      <c r="F37" s="28"/>
      <c r="G37" s="28"/>
    </row>
    <row r="38" spans="2:7" ht="13.5">
      <c r="B38" s="28"/>
      <c r="C38" s="28"/>
      <c r="D38" s="28"/>
      <c r="E38" s="28"/>
      <c r="F38" s="28"/>
      <c r="G38" s="28"/>
    </row>
    <row r="39" spans="2:7" ht="13.5">
      <c r="B39" s="28"/>
      <c r="C39" s="28"/>
      <c r="D39" s="28"/>
      <c r="E39" s="28"/>
      <c r="F39" s="28"/>
      <c r="G39" s="28"/>
    </row>
    <row r="40" spans="2:7" ht="13.5">
      <c r="B40" s="28"/>
      <c r="C40" s="33"/>
      <c r="D40" s="28"/>
      <c r="E40" s="28"/>
      <c r="F40" s="28"/>
      <c r="G40" s="28"/>
    </row>
    <row r="41" spans="2:7" ht="13.5">
      <c r="B41" s="28"/>
      <c r="C41" s="33"/>
      <c r="D41" s="28"/>
      <c r="E41" s="28"/>
      <c r="F41" s="28"/>
      <c r="G41" s="28"/>
    </row>
    <row r="42" spans="2:7" ht="13.5">
      <c r="B42" s="28"/>
      <c r="C42" s="33"/>
      <c r="D42" s="28"/>
      <c r="E42" s="28"/>
      <c r="F42" s="28"/>
      <c r="G42" s="28"/>
    </row>
    <row r="43" spans="2:7" ht="13.5">
      <c r="B43" s="28"/>
      <c r="C43" s="33"/>
      <c r="D43" s="28"/>
      <c r="E43" s="28"/>
      <c r="F43" s="28"/>
      <c r="G43" s="28"/>
    </row>
    <row r="44" spans="2:7" ht="13.5">
      <c r="B44" s="28"/>
      <c r="C44" s="28"/>
      <c r="D44" s="28"/>
      <c r="E44" s="28"/>
      <c r="F44" s="28"/>
      <c r="G44" s="28"/>
    </row>
    <row r="45" spans="2:7" ht="13.5">
      <c r="B45" s="21"/>
      <c r="C45" s="33"/>
      <c r="D45" s="28"/>
      <c r="E45" s="28"/>
      <c r="F45" s="28"/>
      <c r="G45" s="28"/>
    </row>
    <row r="46" spans="2:7" ht="13.5">
      <c r="B46" s="21"/>
      <c r="C46" s="33"/>
      <c r="D46" s="28"/>
      <c r="E46" s="28"/>
      <c r="F46" s="28"/>
      <c r="G46" s="28"/>
    </row>
    <row r="47" spans="2:7" ht="13.5">
      <c r="B47" s="21"/>
      <c r="C47" s="33"/>
      <c r="D47" s="28"/>
      <c r="E47" s="28"/>
      <c r="F47" s="28"/>
      <c r="G47" s="28"/>
    </row>
    <row r="48" spans="2:7" ht="13.5">
      <c r="B48" s="21"/>
      <c r="C48" s="33"/>
      <c r="D48" s="28"/>
      <c r="E48" s="28"/>
      <c r="F48" s="28"/>
      <c r="G48" s="28"/>
    </row>
    <row r="49" spans="2:7" ht="13.5">
      <c r="B49" s="28" t="s">
        <v>14</v>
      </c>
      <c r="C49" s="28"/>
      <c r="D49" s="28"/>
      <c r="E49" s="28"/>
      <c r="F49" s="28"/>
      <c r="G49" s="28"/>
    </row>
    <row r="50" spans="2:7" ht="13.5">
      <c r="B50" s="22" t="str">
        <f>CONCATENATE(Data!B9," ",Data!B10)</f>
        <v>%%=SenderInfo.FIRST_NAME %%=SenderInfo.LAST_NAME</v>
      </c>
      <c r="C50" s="21"/>
      <c r="D50" s="28"/>
      <c r="F50" s="28"/>
      <c r="G50" s="28"/>
    </row>
    <row r="51" spans="2:7" ht="13.5">
      <c r="B51" s="21" t="s">
        <v>78</v>
      </c>
      <c r="C51" s="13"/>
      <c r="D51" s="21"/>
      <c r="F51" s="34"/>
      <c r="G51" s="21"/>
    </row>
    <row r="52" spans="2:7" ht="13.5">
      <c r="B52" s="35" t="s">
        <v>15</v>
      </c>
      <c r="C52" s="36"/>
      <c r="D52" s="28"/>
      <c r="E52" s="35"/>
      <c r="F52" s="28"/>
      <c r="G52" s="34"/>
    </row>
    <row r="53" spans="2:7" ht="13.5">
      <c r="B53" s="22"/>
      <c r="C53" s="28"/>
      <c r="D53" s="21"/>
      <c r="E53" s="28"/>
      <c r="F53" s="28"/>
      <c r="G53" s="28"/>
    </row>
    <row r="54" spans="2:7" ht="13.5">
      <c r="B54" s="21" t="s">
        <v>16</v>
      </c>
      <c r="C54" s="28"/>
      <c r="D54" s="22" t="s">
        <v>90</v>
      </c>
      <c r="E54" s="28"/>
      <c r="F54" s="22"/>
      <c r="G54" s="34"/>
    </row>
    <row r="55" spans="2:7" ht="13.5">
      <c r="B55" s="21"/>
      <c r="C55" s="28"/>
      <c r="D55" s="21"/>
      <c r="E55" s="28"/>
      <c r="F55" s="28"/>
      <c r="G55" s="22"/>
    </row>
    <row r="56" spans="2:7" ht="13.5">
      <c r="B56" s="21"/>
      <c r="C56" s="28"/>
      <c r="D56" s="21"/>
      <c r="E56" s="28"/>
      <c r="F56" s="28"/>
      <c r="G56" s="34"/>
    </row>
    <row r="57" spans="2:7" ht="13.5">
      <c r="B57" s="21"/>
      <c r="C57" s="28"/>
      <c r="D57" s="21"/>
      <c r="E57" s="28"/>
      <c r="F57" s="28"/>
      <c r="G57" s="21"/>
    </row>
    <row r="58" spans="2:7" ht="13.5">
      <c r="B58" s="28" t="s">
        <v>17</v>
      </c>
      <c r="C58" s="28"/>
      <c r="D58" s="21"/>
      <c r="E58" s="28"/>
      <c r="F58" s="28"/>
      <c r="G58" s="21"/>
    </row>
    <row r="59" spans="2:7" ht="13.5">
      <c r="B59" s="22" t="s">
        <v>18</v>
      </c>
      <c r="C59" s="28"/>
      <c r="D59" s="21"/>
      <c r="E59" s="28"/>
      <c r="F59" s="28"/>
      <c r="G59" s="21"/>
    </row>
    <row r="60" spans="2:7" ht="13.5">
      <c r="B60" s="22" t="s">
        <v>19</v>
      </c>
      <c r="C60" s="28"/>
      <c r="D60" s="28"/>
      <c r="E60" s="37"/>
      <c r="F60" s="28"/>
      <c r="G60" s="28"/>
    </row>
    <row r="61" spans="2:7" ht="13.5">
      <c r="B61" s="22" t="s">
        <v>15</v>
      </c>
      <c r="C61" s="28"/>
      <c r="D61" s="28"/>
      <c r="E61" s="37"/>
      <c r="F61" s="28"/>
      <c r="G61" s="22"/>
    </row>
  </sheetData>
  <phoneticPr fontId="0" type="noConversion"/>
  <pageMargins left="0.75" right="0.75" top="1" bottom="1" header="0.5" footer="0.5"/>
  <pageSetup paperSize="9" scale="76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R1284"/>
  <sheetViews>
    <sheetView tabSelected="1" zoomScale="75" workbookViewId="0"/>
  </sheetViews>
  <sheetFormatPr defaultRowHeight="12.75"/>
  <cols>
    <col min="1" max="1" width="32.7109375" style="23" customWidth="1"/>
    <col min="2" max="2" width="12.7109375" style="23" customWidth="1"/>
    <col min="3" max="3" width="32.85546875" style="48" customWidth="1"/>
    <col min="4" max="4" width="16.7109375" style="23" customWidth="1"/>
    <col min="5" max="6" width="16.7109375" style="50" customWidth="1"/>
    <col min="7" max="7" width="16.7109375" style="64" customWidth="1"/>
    <col min="8" max="8" width="16.7109375" style="50" customWidth="1"/>
    <col min="9" max="9" width="16.7109375" style="39" customWidth="1"/>
    <col min="10" max="10" width="12.7109375" style="49" hidden="1" customWidth="1"/>
    <col min="11" max="12" width="12.7109375" style="23" customWidth="1"/>
    <col min="13" max="13" width="11.7109375" style="23" hidden="1" customWidth="1"/>
    <col min="14" max="14" width="12.7109375" style="23" customWidth="1"/>
    <col min="15" max="15" width="11.7109375" style="23" hidden="1" customWidth="1"/>
    <col min="16" max="17" width="12.7109375" style="23" customWidth="1"/>
    <col min="18" max="18" width="37" style="48" customWidth="1"/>
    <col min="19" max="16384" width="9.140625" style="23"/>
  </cols>
  <sheetData>
    <row r="1" spans="1:18">
      <c r="C1" s="23"/>
      <c r="E1" s="23"/>
      <c r="F1" s="23"/>
      <c r="G1" s="13"/>
      <c r="H1" s="23"/>
      <c r="I1" s="23"/>
      <c r="J1" s="23"/>
      <c r="R1" s="23"/>
    </row>
    <row r="2" spans="1:18">
      <c r="C2" s="23"/>
      <c r="E2" s="23"/>
      <c r="F2" s="23"/>
      <c r="G2" s="13"/>
      <c r="H2" s="23"/>
      <c r="I2" s="23"/>
      <c r="J2" s="23"/>
      <c r="R2" s="23"/>
    </row>
    <row r="3" spans="1:18">
      <c r="C3" s="23"/>
      <c r="E3" s="23"/>
      <c r="F3" s="23"/>
      <c r="G3" s="13"/>
      <c r="H3" s="23"/>
      <c r="I3" s="23"/>
      <c r="J3" s="23"/>
      <c r="R3" s="23"/>
    </row>
    <row r="4" spans="1:18">
      <c r="C4" s="23"/>
      <c r="E4" s="23"/>
      <c r="F4" s="23"/>
      <c r="G4" s="13"/>
      <c r="H4" s="23"/>
      <c r="I4" s="23"/>
      <c r="J4" s="23"/>
      <c r="R4" s="23"/>
    </row>
    <row r="5" spans="1:18">
      <c r="C5" s="23"/>
      <c r="E5" s="23"/>
      <c r="F5" s="23"/>
      <c r="G5" s="13"/>
      <c r="H5" s="23"/>
      <c r="I5" s="23"/>
      <c r="J5" s="23"/>
      <c r="R5" s="23"/>
    </row>
    <row r="6" spans="1:18" ht="15.75">
      <c r="A6" s="38" t="s">
        <v>8</v>
      </c>
      <c r="B6" s="69" t="s">
        <v>90</v>
      </c>
      <c r="C6" s="70"/>
      <c r="E6" s="23"/>
      <c r="F6" s="23"/>
      <c r="G6" s="13"/>
      <c r="H6" s="23"/>
      <c r="I6" s="23"/>
      <c r="J6" s="23"/>
      <c r="R6" s="23"/>
    </row>
    <row r="7" spans="1:18">
      <c r="E7" s="23"/>
      <c r="F7" s="23"/>
      <c r="H7" s="23"/>
      <c r="J7" s="23"/>
    </row>
    <row r="8" spans="1:18" ht="15.75">
      <c r="A8" s="40" t="s">
        <v>3</v>
      </c>
      <c r="B8" s="71" t="s">
        <v>80</v>
      </c>
      <c r="C8" s="72"/>
      <c r="E8" s="23"/>
      <c r="F8" s="23"/>
      <c r="G8" s="13"/>
      <c r="H8" s="23"/>
      <c r="I8" s="23"/>
      <c r="J8" s="23"/>
      <c r="R8" s="23"/>
    </row>
    <row r="9" spans="1:18" ht="15.75">
      <c r="A9" s="42" t="s">
        <v>25</v>
      </c>
      <c r="B9" s="71" t="s">
        <v>80</v>
      </c>
      <c r="C9" s="72"/>
      <c r="E9" s="23"/>
      <c r="F9" s="23"/>
      <c r="G9" s="13"/>
      <c r="H9" s="23"/>
      <c r="I9" s="23"/>
      <c r="J9" s="23"/>
      <c r="R9" s="23"/>
    </row>
    <row r="10" spans="1:18" ht="15.75">
      <c r="A10" s="41" t="s">
        <v>24</v>
      </c>
      <c r="B10" s="73"/>
      <c r="C10" s="70"/>
      <c r="E10" s="23"/>
      <c r="F10" s="23"/>
      <c r="G10" s="13"/>
      <c r="H10" s="23"/>
      <c r="I10" s="23"/>
      <c r="J10" s="23"/>
      <c r="R10" s="23"/>
    </row>
    <row r="11" spans="1:18">
      <c r="C11" s="23"/>
      <c r="E11" s="23"/>
      <c r="F11" s="23"/>
      <c r="G11" s="13"/>
      <c r="H11" s="23"/>
      <c r="I11" s="23"/>
      <c r="J11" s="23"/>
      <c r="R11" s="23"/>
    </row>
    <row r="12" spans="1:18" ht="78.75">
      <c r="A12" s="43" t="s">
        <v>20</v>
      </c>
      <c r="B12" s="43" t="s">
        <v>68</v>
      </c>
      <c r="C12" s="43" t="s">
        <v>23</v>
      </c>
      <c r="D12" s="43" t="s">
        <v>21</v>
      </c>
      <c r="E12" s="43" t="s">
        <v>26</v>
      </c>
      <c r="F12" s="43" t="s">
        <v>27</v>
      </c>
      <c r="G12" s="43" t="s">
        <v>81</v>
      </c>
      <c r="H12" s="43" t="s">
        <v>28</v>
      </c>
      <c r="I12" s="43" t="s">
        <v>29</v>
      </c>
      <c r="J12" s="54" t="s">
        <v>63</v>
      </c>
      <c r="K12" s="55" t="s">
        <v>91</v>
      </c>
      <c r="L12" s="55" t="s">
        <v>92</v>
      </c>
      <c r="M12" s="55"/>
      <c r="N12" s="55" t="s">
        <v>93</v>
      </c>
      <c r="O12" s="55"/>
      <c r="P12" s="55" t="s">
        <v>94</v>
      </c>
      <c r="Q12" s="55" t="s">
        <v>86</v>
      </c>
      <c r="R12" s="43" t="s">
        <v>84</v>
      </c>
    </row>
    <row r="13" spans="1:18">
      <c r="A13" s="44"/>
      <c r="B13" s="44"/>
      <c r="C13" s="44"/>
      <c r="D13" s="44" t="s">
        <v>22</v>
      </c>
      <c r="E13" s="44" t="str">
        <f>CONCATENATE("[",'Terms &amp; Conditions'!D18,"/min]")</f>
        <v>[%%=MasterInfo.CURRENCY_NAME/min]</v>
      </c>
      <c r="F13" s="44" t="str">
        <f>CONCATENATE("[",'Terms &amp; Conditions'!D18,"/min]")</f>
        <v>[%%=MasterInfo.CURRENCY_NAME/min]</v>
      </c>
      <c r="G13" s="65"/>
      <c r="H13" s="44" t="str">
        <f>CONCATENATE("[",'Terms &amp; Conditions'!D18,"/min]")</f>
        <v>[%%=MasterInfo.CURRENCY_NAME/min]</v>
      </c>
      <c r="I13" s="44"/>
      <c r="J13" s="56"/>
      <c r="K13" s="57" t="str">
        <f>IF(LEN(Data!B2)&gt;0,IF(Data!B2&lt;&gt;"-",CONCATENATE("[",Data!B2,"]"),""),"")</f>
        <v>[%%=MasterInfo.PRODUCT_PROPERTY_UOM1]</v>
      </c>
      <c r="L13" s="57" t="str">
        <f>IF(LEN(Data!B4)&gt;0,CONCATENATE("[",Data!B4,"]"),"")</f>
        <v>[%%=MasterInfo.PRODUCT_PROPERTY_UOM2]</v>
      </c>
      <c r="M13" s="57"/>
      <c r="N13" s="57" t="str">
        <f>IF(LEN(Data!B6)&gt;0,IF(Data!B6&lt;&gt;"-",CONCATENATE("[",Data!B6,"]"),""),"")</f>
        <v>[%%=MasterInfo.PRODUCT_PROPERTY_UOM3]</v>
      </c>
      <c r="O13" s="57"/>
      <c r="P13" s="57" t="str">
        <f>IF(LEN(Data!B8)&gt;0,IF(Data!B8&lt;&gt;"-",CONCATENATE("[",Data!B8,"]"),""),"")</f>
        <v>[%%=MasterInfo.PRODUCT_PROPERTY_UOM4]</v>
      </c>
      <c r="Q13" s="57"/>
      <c r="R13" s="44"/>
    </row>
    <row r="14" spans="1:18" s="47" customFormat="1" ht="51">
      <c r="A14" s="63" t="s">
        <v>95</v>
      </c>
      <c r="B14" s="63" t="s">
        <v>96</v>
      </c>
      <c r="C14" s="63" t="s">
        <v>97</v>
      </c>
      <c r="D14" s="61"/>
      <c r="E14" s="45">
        <v>0.18</v>
      </c>
      <c r="F14" s="45">
        <v>0.18</v>
      </c>
      <c r="G14" s="66">
        <v>46085</v>
      </c>
      <c r="H14" s="45" t="str">
        <f>IF(ISNUMBER(E14),F14-E14,"N/A")</f>
        <v>N/A</v>
      </c>
      <c r="I14" s="46" t="str">
        <f>IF(E14&lt;&gt;"",IF(F14=E14,"No Change",IF(F14&gt;E14,"Increase","Decrease")),"New")</f>
        <v>Increase</v>
      </c>
      <c r="J14" s="58"/>
      <c r="K14" s="59" t="str">
        <f>IF(LEN(J14)&gt;0,IF(OR(ISLOGICAL(J14),J14="TRUE"),"Yes",""),"")</f>
      </c>
      <c r="L14" s="59"/>
      <c r="M14" s="59"/>
      <c r="N14" s="62" t="str">
        <f>IF(LEN(M14)&gt;0,IF(OR(ISLOGICAL(M14),M14="TRUE"),"Yes",""),"")</f>
      </c>
      <c r="O14" s="59"/>
      <c r="P14" s="62" t="str">
        <f>IF(LEN(O14)&gt;0,IF(OR(ISLOGICAL(O14),O14="TRUE"),"Yes",""),"")</f>
      </c>
      <c r="Q14" s="62" t="s">
        <v>98</v>
      </c>
      <c r="R14" s="63"/>
    </row>
    <row r="15" spans="1:18" s="47" customFormat="1" ht="51">
      <c r="A15" s="63" t="s">
        <v>99</v>
      </c>
      <c r="B15" s="63" t="s">
        <v>96</v>
      </c>
      <c r="C15" s="63" t="s">
        <v>100</v>
      </c>
      <c r="D15" s="61"/>
      <c r="E15" s="45">
        <v>0.143</v>
      </c>
      <c r="F15" s="45">
        <v>0.143</v>
      </c>
      <c r="G15" s="66">
        <v>46082</v>
      </c>
      <c r="H15" s="45" t="str">
        <f>IF(ISNUMBER(E15),F15-E15,"N/A")</f>
        <v>N/A</v>
      </c>
      <c r="I15" s="46" t="str">
        <f>IF(E15&lt;&gt;"",IF(F15=E15,"No Change",IF(F15&gt;E15,"Increase","Decrease")),"New")</f>
        <v>Increase</v>
      </c>
      <c r="J15" s="58"/>
      <c r="K15" s="59" t="str">
        <f>IF(LEN(J15)&gt;0,IF(OR(ISLOGICAL(J15),J15="TRUE"),"Yes",""),"")</f>
      </c>
      <c r="L15" s="59"/>
      <c r="M15" s="59"/>
      <c r="N15" s="62" t="str">
        <f>IF(LEN(M15)&gt;0,IF(OR(ISLOGICAL(M15),M15="TRUE"),"Yes",""),"")</f>
      </c>
      <c r="O15" s="59"/>
      <c r="P15" s="62" t="str">
        <f>IF(LEN(O15)&gt;0,IF(OR(ISLOGICAL(O15),O15="TRUE"),"Yes",""),"")</f>
      </c>
      <c r="Q15" s="62" t="s">
        <v>98</v>
      </c>
      <c r="R15" s="63"/>
    </row>
    <row r="16" spans="1:18" s="47" customFormat="1" ht="51">
      <c r="A16" s="63" t="s">
        <v>101</v>
      </c>
      <c r="B16" s="63" t="s">
        <v>96</v>
      </c>
      <c r="C16" s="63" t="s">
        <v>102</v>
      </c>
      <c r="D16" s="61"/>
      <c r="E16" s="45">
        <v>0.135</v>
      </c>
      <c r="F16" s="45">
        <v>0.135</v>
      </c>
      <c r="G16" s="66">
        <v>46099</v>
      </c>
      <c r="H16" s="45" t="str">
        <f>IF(ISNUMBER(E16),F16-E16,"N/A")</f>
        <v>N/A</v>
      </c>
      <c r="I16" s="46" t="str">
        <f>IF(E16&lt;&gt;"",IF(F16=E16,"No Change",IF(F16&gt;E16,"Increase","Decrease")),"New")</f>
        <v>Increase</v>
      </c>
      <c r="J16" s="58" t="s">
        <v>103</v>
      </c>
      <c r="K16" s="59" t="str">
        <f>IF(LEN(J16)&gt;0,IF(OR(ISLOGICAL(J16),J16="TRUE"),"Yes",""),"")</f>
      </c>
      <c r="L16" s="59"/>
      <c r="M16" s="59"/>
      <c r="N16" s="62" t="str">
        <f>IF(LEN(M16)&gt;0,IF(OR(ISLOGICAL(M16),M16="TRUE"),"Yes",""),"")</f>
      </c>
      <c r="O16" s="59"/>
      <c r="P16" s="62" t="str">
        <f>IF(LEN(O16)&gt;0,IF(OR(ISLOGICAL(O16),O16="TRUE"),"Yes",""),"")</f>
      </c>
      <c r="Q16" s="62" t="s">
        <v>104</v>
      </c>
      <c r="R16" s="63"/>
    </row>
    <row r="17" spans="1:18" s="47" customFormat="1" ht="51">
      <c r="A17" s="63" t="s">
        <v>105</v>
      </c>
      <c r="B17" s="63" t="s">
        <v>96</v>
      </c>
      <c r="C17" s="63" t="s">
        <v>106</v>
      </c>
      <c r="D17" s="61"/>
      <c r="E17" s="45">
        <v>0.142</v>
      </c>
      <c r="F17" s="45">
        <v>0.142</v>
      </c>
      <c r="G17" s="66">
        <v>46099</v>
      </c>
      <c r="H17" s="45" t="str">
        <f>IF(ISNUMBER(E17),F17-E17,"N/A")</f>
        <v>N/A</v>
      </c>
      <c r="I17" s="46" t="str">
        <f>IF(E17&lt;&gt;"",IF(F17=E17,"No Change",IF(F17&gt;E17,"Increase","Decrease")),"New")</f>
        <v>Increase</v>
      </c>
      <c r="J17" s="58"/>
      <c r="K17" s="59" t="str">
        <f>IF(LEN(J17)&gt;0,IF(OR(ISLOGICAL(J17),J17="TRUE"),"Yes",""),"")</f>
      </c>
      <c r="L17" s="59"/>
      <c r="M17" s="59"/>
      <c r="N17" s="62" t="str">
        <f>IF(LEN(M17)&gt;0,IF(OR(ISLOGICAL(M17),M17="TRUE"),"Yes",""),"")</f>
      </c>
      <c r="O17" s="59"/>
      <c r="P17" s="62" t="str">
        <f>IF(LEN(O17)&gt;0,IF(OR(ISLOGICAL(O17),O17="TRUE"),"Yes",""),"")</f>
      </c>
      <c r="Q17" s="62" t="s">
        <v>98</v>
      </c>
      <c r="R17" s="63"/>
    </row>
    <row r="18" spans="1:18" s="47" customFormat="1" ht="51">
      <c r="A18" s="63" t="s">
        <v>107</v>
      </c>
      <c r="B18" s="63" t="s">
        <v>96</v>
      </c>
      <c r="C18" s="63" t="s">
        <v>108</v>
      </c>
      <c r="D18" s="61"/>
      <c r="E18" s="45">
        <v>0.1175</v>
      </c>
      <c r="F18" s="45">
        <v>0.1175</v>
      </c>
      <c r="G18" s="66">
        <v>46113</v>
      </c>
      <c r="H18" s="45" t="str">
        <f>IF(ISNUMBER(E18),F18-E18,"N/A")</f>
        <v>N/A</v>
      </c>
      <c r="I18" s="46" t="str">
        <f>IF(E18&lt;&gt;"",IF(F18=E18,"No Change",IF(F18&gt;E18,"Increase","Decrease")),"New")</f>
        <v>Increase</v>
      </c>
      <c r="J18" s="58"/>
      <c r="K18" s="59" t="str">
        <f>IF(LEN(J18)&gt;0,IF(OR(ISLOGICAL(J18),J18="TRUE"),"Yes",""),"")</f>
      </c>
      <c r="L18" s="59"/>
      <c r="M18" s="59"/>
      <c r="N18" s="62" t="str">
        <f>IF(LEN(M18)&gt;0,IF(OR(ISLOGICAL(M18),M18="TRUE"),"Yes",""),"")</f>
      </c>
      <c r="O18" s="59"/>
      <c r="P18" s="62" t="str">
        <f>IF(LEN(O18)&gt;0,IF(OR(ISLOGICAL(O18),O18="TRUE"),"Yes",""),"")</f>
      </c>
      <c r="Q18" s="62" t="s">
        <v>109</v>
      </c>
      <c r="R18" s="63"/>
    </row>
    <row r="19" spans="1:18" s="47" customFormat="1" ht="51">
      <c r="A19" s="63" t="s">
        <v>110</v>
      </c>
      <c r="B19" s="63" t="s">
        <v>96</v>
      </c>
      <c r="C19" s="63" t="s">
        <v>111</v>
      </c>
      <c r="D19" s="61"/>
      <c r="E19" s="45">
        <v>0.1341</v>
      </c>
      <c r="F19" s="45">
        <v>0.1341</v>
      </c>
      <c r="G19" s="66">
        <v>46113</v>
      </c>
      <c r="H19" s="45" t="str">
        <f>IF(ISNUMBER(E19),F19-E19,"N/A")</f>
        <v>N/A</v>
      </c>
      <c r="I19" s="46" t="str">
        <f>IF(E19&lt;&gt;"",IF(F19=E19,"No Change",IF(F19&gt;E19,"Increase","Decrease")),"New")</f>
        <v>Increase</v>
      </c>
      <c r="J19" s="58"/>
      <c r="K19" s="59" t="str">
        <f>IF(LEN(J19)&gt;0,IF(OR(ISLOGICAL(J19),J19="TRUE"),"Yes",""),"")</f>
      </c>
      <c r="L19" s="59"/>
      <c r="M19" s="59"/>
      <c r="N19" s="62" t="str">
        <f>IF(LEN(M19)&gt;0,IF(OR(ISLOGICAL(M19),M19="TRUE"),"Yes",""),"")</f>
      </c>
      <c r="O19" s="59"/>
      <c r="P19" s="62" t="str">
        <f>IF(LEN(O19)&gt;0,IF(OR(ISLOGICAL(O19),O19="TRUE"),"Yes",""),"")</f>
      </c>
      <c r="Q19" s="62" t="s">
        <v>98</v>
      </c>
      <c r="R19" s="63"/>
    </row>
    <row r="20" spans="1:18" s="47" customFormat="1" ht="51">
      <c r="A20" s="63" t="s">
        <v>112</v>
      </c>
      <c r="B20" s="63" t="s">
        <v>96</v>
      </c>
      <c r="C20" s="63" t="s">
        <v>113</v>
      </c>
      <c r="D20" s="61"/>
      <c r="E20" s="45">
        <v>0.1255</v>
      </c>
      <c r="F20" s="45">
        <v>0.1255</v>
      </c>
      <c r="G20" s="66">
        <v>46092</v>
      </c>
      <c r="H20" s="45" t="str">
        <f>IF(ISNUMBER(E20),F20-E20,"N/A")</f>
        <v>N/A</v>
      </c>
      <c r="I20" s="46" t="str">
        <f>IF(E20&lt;&gt;"",IF(F20=E20,"No Change",IF(F20&gt;E20,"Increase","Decrease")),"New")</f>
        <v>Increase</v>
      </c>
      <c r="J20" s="58"/>
      <c r="K20" s="59" t="str">
        <f>IF(LEN(J20)&gt;0,IF(OR(ISLOGICAL(J20),J20="TRUE"),"Yes",""),"")</f>
      </c>
      <c r="L20" s="59"/>
      <c r="M20" s="59"/>
      <c r="N20" s="62" t="str">
        <f>IF(LEN(M20)&gt;0,IF(OR(ISLOGICAL(M20),M20="TRUE"),"Yes",""),"")</f>
      </c>
      <c r="O20" s="59"/>
      <c r="P20" s="62" t="str">
        <f>IF(LEN(O20)&gt;0,IF(OR(ISLOGICAL(O20),O20="TRUE"),"Yes",""),"")</f>
      </c>
      <c r="Q20" s="62" t="s">
        <v>98</v>
      </c>
      <c r="R20" s="63"/>
    </row>
    <row r="21" spans="1:18" s="47" customFormat="1" ht="51">
      <c r="A21" s="63" t="s">
        <v>114</v>
      </c>
      <c r="B21" s="63" t="s">
        <v>96</v>
      </c>
      <c r="C21" s="63" t="s">
        <v>115</v>
      </c>
      <c r="D21" s="61"/>
      <c r="E21" s="45">
        <v>0.0325</v>
      </c>
      <c r="F21" s="45">
        <v>0.0325</v>
      </c>
      <c r="G21" s="66">
        <v>46127</v>
      </c>
      <c r="H21" s="45" t="str">
        <f>IF(ISNUMBER(E21),F21-E21,"N/A")</f>
        <v>N/A</v>
      </c>
      <c r="I21" s="46" t="str">
        <f>IF(E21&lt;&gt;"",IF(F21=E21,"No Change",IF(F21&gt;E21,"Increase","Decrease")),"New")</f>
        <v>Increase</v>
      </c>
      <c r="J21" s="58"/>
      <c r="K21" s="59" t="str">
        <f>IF(LEN(J21)&gt;0,IF(OR(ISLOGICAL(J21),J21="TRUE"),"Yes",""),"")</f>
      </c>
      <c r="L21" s="59"/>
      <c r="M21" s="59"/>
      <c r="N21" s="62" t="str">
        <f>IF(LEN(M21)&gt;0,IF(OR(ISLOGICAL(M21),M21="TRUE"),"Yes",""),"")</f>
      </c>
      <c r="O21" s="59"/>
      <c r="P21" s="62" t="str">
        <f>IF(LEN(O21)&gt;0,IF(OR(ISLOGICAL(O21),O21="TRUE"),"Yes",""),"")</f>
      </c>
      <c r="Q21" s="62" t="s">
        <v>98</v>
      </c>
      <c r="R21" s="63"/>
    </row>
    <row r="22" spans="1:18" s="47" customFormat="1" ht="51">
      <c r="A22" s="63" t="s">
        <v>116</v>
      </c>
      <c r="B22" s="63" t="s">
        <v>96</v>
      </c>
      <c r="C22" s="63" t="s">
        <v>117</v>
      </c>
      <c r="D22" s="61"/>
      <c r="E22" s="45">
        <v>0.133</v>
      </c>
      <c r="F22" s="45">
        <v>0.133</v>
      </c>
      <c r="G22" s="66">
        <v>46074</v>
      </c>
      <c r="H22" s="45" t="str">
        <f>IF(ISNUMBER(E22),F22-E22,"N/A")</f>
        <v>N/A</v>
      </c>
      <c r="I22" s="46" t="str">
        <f>IF(E22&lt;&gt;"",IF(F22=E22,"No Change",IF(F22&gt;E22,"Increase","Decrease")),"New")</f>
        <v>Increase</v>
      </c>
      <c r="J22" s="58"/>
      <c r="K22" s="59" t="str">
        <f>IF(LEN(J22)&gt;0,IF(OR(ISLOGICAL(J22),J22="TRUE"),"Yes",""),"")</f>
      </c>
      <c r="L22" s="59"/>
      <c r="M22" s="59"/>
      <c r="N22" s="62" t="str">
        <f>IF(LEN(M22)&gt;0,IF(OR(ISLOGICAL(M22),M22="TRUE"),"Yes",""),"")</f>
      </c>
      <c r="O22" s="59"/>
      <c r="P22" s="62" t="str">
        <f>IF(LEN(O22)&gt;0,IF(OR(ISLOGICAL(O22),O22="TRUE"),"Yes",""),"")</f>
      </c>
      <c r="Q22" s="62" t="s">
        <v>98</v>
      </c>
      <c r="R22" s="63"/>
    </row>
    <row r="23" spans="1:18" s="47" customFormat="1" ht="51">
      <c r="A23" s="63" t="s">
        <v>118</v>
      </c>
      <c r="B23" s="63" t="s">
        <v>96</v>
      </c>
      <c r="C23" s="63" t="s">
        <v>119</v>
      </c>
      <c r="D23" s="61"/>
      <c r="E23" s="45">
        <v>0.35</v>
      </c>
      <c r="F23" s="45">
        <v>0.35</v>
      </c>
      <c r="G23" s="66">
        <v>46082</v>
      </c>
      <c r="H23" s="45" t="str">
        <f>IF(ISNUMBER(E23),F23-E23,"N/A")</f>
        <v>N/A</v>
      </c>
      <c r="I23" s="46" t="str">
        <f>IF(E23&lt;&gt;"",IF(F23=E23,"No Change",IF(F23&gt;E23,"Increase","Decrease")),"New")</f>
        <v>Increase</v>
      </c>
      <c r="J23" s="58"/>
      <c r="K23" s="59" t="str">
        <f>IF(LEN(J23)&gt;0,IF(OR(ISLOGICAL(J23),J23="TRUE"),"Yes",""),"")</f>
      </c>
      <c r="L23" s="59"/>
      <c r="M23" s="59"/>
      <c r="N23" s="62" t="str">
        <f>IF(LEN(M23)&gt;0,IF(OR(ISLOGICAL(M23),M23="TRUE"),"Yes",""),"")</f>
      </c>
      <c r="O23" s="59"/>
      <c r="P23" s="62" t="str">
        <f>IF(LEN(O23)&gt;0,IF(OR(ISLOGICAL(O23),O23="TRUE"),"Yes",""),"")</f>
      </c>
      <c r="Q23" s="62" t="s">
        <v>98</v>
      </c>
      <c r="R23" s="63"/>
    </row>
    <row r="24" spans="1:18" s="47" customFormat="1" ht="51">
      <c r="A24" s="63" t="s">
        <v>120</v>
      </c>
      <c r="B24" s="63" t="s">
        <v>96</v>
      </c>
      <c r="C24" s="63" t="s">
        <v>121</v>
      </c>
      <c r="D24" s="61"/>
      <c r="E24" s="45">
        <v>0.38</v>
      </c>
      <c r="F24" s="45">
        <v>0.38</v>
      </c>
      <c r="G24" s="66">
        <v>45812</v>
      </c>
      <c r="H24" s="45" t="str">
        <f>IF(ISNUMBER(E24),F24-E24,"N/A")</f>
        <v>N/A</v>
      </c>
      <c r="I24" s="46" t="str">
        <f>IF(E24&lt;&gt;"",IF(F24=E24,"No Change",IF(F24&gt;E24,"Increase","Decrease")),"New")</f>
        <v>Increase</v>
      </c>
      <c r="J24" s="58" t="s">
        <v>122</v>
      </c>
      <c r="K24" s="59" t="str">
        <f>IF(LEN(J24)&gt;0,IF(OR(ISLOGICAL(J24),J24="TRUE"),"Yes",""),"")</f>
      </c>
      <c r="L24" s="59"/>
      <c r="M24" s="59"/>
      <c r="N24" s="62" t="str">
        <f>IF(LEN(M24)&gt;0,IF(OR(ISLOGICAL(M24),M24="TRUE"),"Yes",""),"")</f>
      </c>
      <c r="O24" s="59"/>
      <c r="P24" s="62" t="str">
        <f>IF(LEN(O24)&gt;0,IF(OR(ISLOGICAL(O24),O24="TRUE"),"Yes",""),"")</f>
      </c>
      <c r="Q24" s="62" t="s">
        <v>98</v>
      </c>
      <c r="R24" s="63"/>
    </row>
    <row r="25" spans="1:18" s="47" customFormat="1" ht="51">
      <c r="A25" s="63" t="s">
        <v>123</v>
      </c>
      <c r="B25" s="63" t="s">
        <v>96</v>
      </c>
      <c r="C25" s="63" t="s">
        <v>124</v>
      </c>
      <c r="D25" s="61"/>
      <c r="E25" s="45">
        <v>0.38</v>
      </c>
      <c r="F25" s="45">
        <v>0.38</v>
      </c>
      <c r="G25" s="66">
        <v>45812</v>
      </c>
      <c r="H25" s="45" t="str">
        <f>IF(ISNUMBER(E25),F25-E25,"N/A")</f>
        <v>N/A</v>
      </c>
      <c r="I25" s="46" t="str">
        <f>IF(E25&lt;&gt;"",IF(F25=E25,"No Change",IF(F25&gt;E25,"Increase","Decrease")),"New")</f>
        <v>Increase</v>
      </c>
      <c r="J25" s="58" t="s">
        <v>122</v>
      </c>
      <c r="K25" s="59" t="str">
        <f>IF(LEN(J25)&gt;0,IF(OR(ISLOGICAL(J25),J25="TRUE"),"Yes",""),"")</f>
      </c>
      <c r="L25" s="59"/>
      <c r="M25" s="59"/>
      <c r="N25" s="62" t="str">
        <f>IF(LEN(M25)&gt;0,IF(OR(ISLOGICAL(M25),M25="TRUE"),"Yes",""),"")</f>
      </c>
      <c r="O25" s="59"/>
      <c r="P25" s="62" t="str">
        <f>IF(LEN(O25)&gt;0,IF(OR(ISLOGICAL(O25),O25="TRUE"),"Yes",""),"")</f>
      </c>
      <c r="Q25" s="62" t="s">
        <v>98</v>
      </c>
      <c r="R25" s="63"/>
    </row>
    <row r="26" spans="1:18" s="47" customFormat="1" ht="51">
      <c r="A26" s="63" t="s">
        <v>125</v>
      </c>
      <c r="B26" s="63" t="s">
        <v>96</v>
      </c>
      <c r="C26" s="63" t="s">
        <v>126</v>
      </c>
      <c r="D26" s="61"/>
      <c r="E26" s="45">
        <v>0.158</v>
      </c>
      <c r="F26" s="45">
        <v>0.158</v>
      </c>
      <c r="G26" s="66">
        <v>44022</v>
      </c>
      <c r="H26" s="45" t="str">
        <f>IF(ISNUMBER(E26),F26-E26,"N/A")</f>
        <v>N/A</v>
      </c>
      <c r="I26" s="46" t="str">
        <f>IF(E26&lt;&gt;"",IF(F26=E26,"No Change",IF(F26&gt;E26,"Increase","Decrease")),"New")</f>
        <v>Increase</v>
      </c>
      <c r="J26" s="58" t="s">
        <v>122</v>
      </c>
      <c r="K26" s="59" t="str">
        <f>IF(LEN(J26)&gt;0,IF(OR(ISLOGICAL(J26),J26="TRUE"),"Yes",""),"")</f>
      </c>
      <c r="L26" s="59"/>
      <c r="M26" s="59"/>
      <c r="N26" s="62" t="str">
        <f>IF(LEN(M26)&gt;0,IF(OR(ISLOGICAL(M26),M26="TRUE"),"Yes",""),"")</f>
      </c>
      <c r="O26" s="59"/>
      <c r="P26" s="62" t="str">
        <f>IF(LEN(O26)&gt;0,IF(OR(ISLOGICAL(O26),O26="TRUE"),"Yes",""),"")</f>
      </c>
      <c r="Q26" s="62" t="s">
        <v>98</v>
      </c>
      <c r="R26" s="63"/>
    </row>
    <row r="27" spans="1:18" s="47" customFormat="1" ht="51">
      <c r="A27" s="63" t="s">
        <v>127</v>
      </c>
      <c r="B27" s="63" t="s">
        <v>96</v>
      </c>
      <c r="C27" s="63" t="s">
        <v>128</v>
      </c>
      <c r="D27" s="61"/>
      <c r="E27" s="45">
        <v>0.352</v>
      </c>
      <c r="F27" s="45">
        <v>0.352</v>
      </c>
      <c r="G27" s="66">
        <v>46120</v>
      </c>
      <c r="H27" s="45" t="str">
        <f>IF(ISNUMBER(E27),F27-E27,"N/A")</f>
        <v>N/A</v>
      </c>
      <c r="I27" s="46" t="str">
        <f>IF(E27&lt;&gt;"",IF(F27=E27,"No Change",IF(F27&gt;E27,"Increase","Decrease")),"New")</f>
        <v>Increase</v>
      </c>
      <c r="J27" s="58" t="s">
        <v>122</v>
      </c>
      <c r="K27" s="59" t="str">
        <f>IF(LEN(J27)&gt;0,IF(OR(ISLOGICAL(J27),J27="TRUE"),"Yes",""),"")</f>
      </c>
      <c r="L27" s="59"/>
      <c r="M27" s="59"/>
      <c r="N27" s="62" t="str">
        <f>IF(LEN(M27)&gt;0,IF(OR(ISLOGICAL(M27),M27="TRUE"),"Yes",""),"")</f>
      </c>
      <c r="O27" s="59"/>
      <c r="P27" s="62" t="str">
        <f>IF(LEN(O27)&gt;0,IF(OR(ISLOGICAL(O27),O27="TRUE"),"Yes",""),"")</f>
      </c>
      <c r="Q27" s="62" t="s">
        <v>98</v>
      </c>
      <c r="R27" s="63"/>
    </row>
    <row r="28" spans="1:18" s="47" customFormat="1" ht="51">
      <c r="A28" s="63" t="s">
        <v>129</v>
      </c>
      <c r="B28" s="63" t="s">
        <v>96</v>
      </c>
      <c r="C28" s="63" t="s">
        <v>130</v>
      </c>
      <c r="D28" s="61"/>
      <c r="E28" s="45">
        <v>0.0549</v>
      </c>
      <c r="F28" s="45">
        <v>0.0549</v>
      </c>
      <c r="G28" s="66">
        <v>46074</v>
      </c>
      <c r="H28" s="45" t="str">
        <f>IF(ISNUMBER(E28),F28-E28,"N/A")</f>
        <v>N/A</v>
      </c>
      <c r="I28" s="46" t="str">
        <f>IF(E28&lt;&gt;"",IF(F28=E28,"No Change",IF(F28&gt;E28,"Increase","Decrease")),"New")</f>
        <v>Increase</v>
      </c>
      <c r="J28" s="58"/>
      <c r="K28" s="59" t="str">
        <f>IF(LEN(J28)&gt;0,IF(OR(ISLOGICAL(J28),J28="TRUE"),"Yes",""),"")</f>
      </c>
      <c r="L28" s="59"/>
      <c r="M28" s="59"/>
      <c r="N28" s="62" t="str">
        <f>IF(LEN(M28)&gt;0,IF(OR(ISLOGICAL(M28),M28="TRUE"),"Yes",""),"")</f>
      </c>
      <c r="O28" s="59"/>
      <c r="P28" s="62" t="str">
        <f>IF(LEN(O28)&gt;0,IF(OR(ISLOGICAL(O28),O28="TRUE"),"Yes",""),"")</f>
      </c>
      <c r="Q28" s="62" t="s">
        <v>98</v>
      </c>
      <c r="R28" s="63"/>
    </row>
    <row r="29" spans="1:18" s="47" customFormat="1" ht="51">
      <c r="A29" s="63" t="s">
        <v>131</v>
      </c>
      <c r="B29" s="63" t="s">
        <v>96</v>
      </c>
      <c r="C29" s="63" t="s">
        <v>132</v>
      </c>
      <c r="D29" s="61"/>
      <c r="E29" s="45">
        <v>0.0549</v>
      </c>
      <c r="F29" s="45">
        <v>0.0549</v>
      </c>
      <c r="G29" s="66">
        <v>46082</v>
      </c>
      <c r="H29" s="45" t="str">
        <f>IF(ISNUMBER(E29),F29-E29,"N/A")</f>
        <v>N/A</v>
      </c>
      <c r="I29" s="46" t="str">
        <f>IF(E29&lt;&gt;"",IF(F29=E29,"No Change",IF(F29&gt;E29,"Increase","Decrease")),"New")</f>
        <v>Increase</v>
      </c>
      <c r="J29" s="58"/>
      <c r="K29" s="59" t="str">
        <f>IF(LEN(J29)&gt;0,IF(OR(ISLOGICAL(J29),J29="TRUE"),"Yes",""),"")</f>
      </c>
      <c r="L29" s="59"/>
      <c r="M29" s="59"/>
      <c r="N29" s="62" t="str">
        <f>IF(LEN(M29)&gt;0,IF(OR(ISLOGICAL(M29),M29="TRUE"),"Yes",""),"")</f>
      </c>
      <c r="O29" s="59"/>
      <c r="P29" s="62" t="str">
        <f>IF(LEN(O29)&gt;0,IF(OR(ISLOGICAL(O29),O29="TRUE"),"Yes",""),"")</f>
      </c>
      <c r="Q29" s="62" t="s">
        <v>98</v>
      </c>
      <c r="R29" s="63"/>
    </row>
    <row r="30" spans="1:18" s="47" customFormat="1" ht="51">
      <c r="A30" s="63" t="s">
        <v>133</v>
      </c>
      <c r="B30" s="63" t="s">
        <v>96</v>
      </c>
      <c r="C30" s="63" t="s">
        <v>134</v>
      </c>
      <c r="D30" s="61"/>
      <c r="E30" s="45">
        <v>0.776</v>
      </c>
      <c r="F30" s="45">
        <v>0.776</v>
      </c>
      <c r="G30" s="66">
        <v>46071</v>
      </c>
      <c r="H30" s="45" t="str">
        <f>IF(ISNUMBER(E30),F30-E30,"N/A")</f>
        <v>N/A</v>
      </c>
      <c r="I30" s="46" t="str">
        <f>IF(E30&lt;&gt;"",IF(F30=E30,"No Change",IF(F30&gt;E30,"Increase","Decrease")),"New")</f>
        <v>Increase</v>
      </c>
      <c r="J30" s="58" t="s">
        <v>122</v>
      </c>
      <c r="K30" s="59" t="str">
        <f>IF(LEN(J30)&gt;0,IF(OR(ISLOGICAL(J30),J30="TRUE"),"Yes",""),"")</f>
      </c>
      <c r="L30" s="59"/>
      <c r="M30" s="59"/>
      <c r="N30" s="62" t="str">
        <f>IF(LEN(M30)&gt;0,IF(OR(ISLOGICAL(M30),M30="TRUE"),"Yes",""),"")</f>
      </c>
      <c r="O30" s="59"/>
      <c r="P30" s="62" t="str">
        <f>IF(LEN(O30)&gt;0,IF(OR(ISLOGICAL(O30),O30="TRUE"),"Yes",""),"")</f>
      </c>
      <c r="Q30" s="62" t="s">
        <v>104</v>
      </c>
      <c r="R30" s="63"/>
    </row>
    <row r="31" spans="1:18" s="47" customFormat="1" ht="51">
      <c r="A31" s="63" t="s">
        <v>135</v>
      </c>
      <c r="B31" s="63" t="s">
        <v>96</v>
      </c>
      <c r="C31" s="63" t="s">
        <v>136</v>
      </c>
      <c r="D31" s="61"/>
      <c r="E31" s="45">
        <v>0.655</v>
      </c>
      <c r="F31" s="45">
        <v>0.655</v>
      </c>
      <c r="G31" s="66">
        <v>46071</v>
      </c>
      <c r="H31" s="45" t="str">
        <f>IF(ISNUMBER(E31),F31-E31,"N/A")</f>
        <v>N/A</v>
      </c>
      <c r="I31" s="46" t="str">
        <f>IF(E31&lt;&gt;"",IF(F31=E31,"No Change",IF(F31&gt;E31,"Increase","Decrease")),"New")</f>
        <v>Increase</v>
      </c>
      <c r="J31" s="58" t="s">
        <v>122</v>
      </c>
      <c r="K31" s="59" t="str">
        <f>IF(LEN(J31)&gt;0,IF(OR(ISLOGICAL(J31),J31="TRUE"),"Yes",""),"")</f>
      </c>
      <c r="L31" s="59"/>
      <c r="M31" s="59"/>
      <c r="N31" s="62" t="str">
        <f>IF(LEN(M31)&gt;0,IF(OR(ISLOGICAL(M31),M31="TRUE"),"Yes",""),"")</f>
      </c>
      <c r="O31" s="59"/>
      <c r="P31" s="62" t="str">
        <f>IF(LEN(O31)&gt;0,IF(OR(ISLOGICAL(O31),O31="TRUE"),"Yes",""),"")</f>
      </c>
      <c r="Q31" s="62" t="s">
        <v>98</v>
      </c>
      <c r="R31" s="63"/>
    </row>
    <row r="32" spans="1:18" s="47" customFormat="1" ht="51">
      <c r="A32" s="63" t="s">
        <v>137</v>
      </c>
      <c r="B32" s="63" t="s">
        <v>96</v>
      </c>
      <c r="C32" s="63" t="s">
        <v>138</v>
      </c>
      <c r="D32" s="61"/>
      <c r="E32" s="45">
        <v>0.75</v>
      </c>
      <c r="F32" s="45">
        <v>0.75</v>
      </c>
      <c r="G32" s="66">
        <v>46071</v>
      </c>
      <c r="H32" s="45" t="str">
        <f>IF(ISNUMBER(E32),F32-E32,"N/A")</f>
        <v>N/A</v>
      </c>
      <c r="I32" s="46" t="str">
        <f>IF(E32&lt;&gt;"",IF(F32=E32,"No Change",IF(F32&gt;E32,"Increase","Decrease")),"New")</f>
        <v>Increase</v>
      </c>
      <c r="J32" s="58" t="s">
        <v>122</v>
      </c>
      <c r="K32" s="59" t="str">
        <f>IF(LEN(J32)&gt;0,IF(OR(ISLOGICAL(J32),J32="TRUE"),"Yes",""),"")</f>
      </c>
      <c r="L32" s="59"/>
      <c r="M32" s="59"/>
      <c r="N32" s="62" t="str">
        <f>IF(LEN(M32)&gt;0,IF(OR(ISLOGICAL(M32),M32="TRUE"),"Yes",""),"")</f>
      </c>
      <c r="O32" s="59"/>
      <c r="P32" s="62" t="str">
        <f>IF(LEN(O32)&gt;0,IF(OR(ISLOGICAL(O32),O32="TRUE"),"Yes",""),"")</f>
      </c>
      <c r="Q32" s="62" t="s">
        <v>104</v>
      </c>
      <c r="R32" s="63"/>
    </row>
    <row r="33" spans="1:18" s="47" customFormat="1" ht="51">
      <c r="A33" s="63" t="s">
        <v>139</v>
      </c>
      <c r="B33" s="63" t="s">
        <v>96</v>
      </c>
      <c r="C33" s="63" t="s">
        <v>140</v>
      </c>
      <c r="D33" s="61"/>
      <c r="E33" s="45">
        <v>0.11</v>
      </c>
      <c r="F33" s="45">
        <v>0.11</v>
      </c>
      <c r="G33" s="66">
        <v>46143</v>
      </c>
      <c r="H33" s="45" t="str">
        <f>IF(ISNUMBER(E33),F33-E33,"N/A")</f>
        <v>N/A</v>
      </c>
      <c r="I33" s="46" t="str">
        <f>IF(E33&lt;&gt;"",IF(F33=E33,"No Change",IF(F33&gt;E33,"Increase","Decrease")),"New")</f>
        <v>Increase</v>
      </c>
      <c r="J33" s="58"/>
      <c r="K33" s="59" t="str">
        <f>IF(LEN(J33)&gt;0,IF(OR(ISLOGICAL(J33),J33="TRUE"),"Yes",""),"")</f>
      </c>
      <c r="L33" s="59"/>
      <c r="M33" s="59"/>
      <c r="N33" s="62" t="str">
        <f>IF(LEN(M33)&gt;0,IF(OR(ISLOGICAL(M33),M33="TRUE"),"Yes",""),"")</f>
      </c>
      <c r="O33" s="59"/>
      <c r="P33" s="62" t="str">
        <f>IF(LEN(O33)&gt;0,IF(OR(ISLOGICAL(O33),O33="TRUE"),"Yes",""),"")</f>
      </c>
      <c r="Q33" s="62" t="s">
        <v>109</v>
      </c>
      <c r="R33" s="63"/>
    </row>
    <row r="34" spans="1:18" s="47" customFormat="1" ht="51">
      <c r="A34" s="63" t="s">
        <v>141</v>
      </c>
      <c r="B34" s="63" t="s">
        <v>96</v>
      </c>
      <c r="C34" s="63" t="s">
        <v>142</v>
      </c>
      <c r="D34" s="61"/>
      <c r="E34" s="45">
        <v>0.11</v>
      </c>
      <c r="F34" s="45">
        <v>0.11</v>
      </c>
      <c r="G34" s="66">
        <v>46143</v>
      </c>
      <c r="H34" s="45" t="str">
        <f>IF(ISNUMBER(E34),F34-E34,"N/A")</f>
        <v>N/A</v>
      </c>
      <c r="I34" s="46" t="str">
        <f>IF(E34&lt;&gt;"",IF(F34=E34,"No Change",IF(F34&gt;E34,"Increase","Decrease")),"New")</f>
        <v>Increase</v>
      </c>
      <c r="J34" s="58"/>
      <c r="K34" s="59" t="str">
        <f>IF(LEN(J34)&gt;0,IF(OR(ISLOGICAL(J34),J34="TRUE"),"Yes",""),"")</f>
      </c>
      <c r="L34" s="59"/>
      <c r="M34" s="59"/>
      <c r="N34" s="62" t="str">
        <f>IF(LEN(M34)&gt;0,IF(OR(ISLOGICAL(M34),M34="TRUE"),"Yes",""),"")</f>
      </c>
      <c r="O34" s="59"/>
      <c r="P34" s="62" t="str">
        <f>IF(LEN(O34)&gt;0,IF(OR(ISLOGICAL(O34),O34="TRUE"),"Yes",""),"")</f>
      </c>
      <c r="Q34" s="62" t="s">
        <v>98</v>
      </c>
      <c r="R34" s="63"/>
    </row>
    <row r="35" spans="1:18" s="47" customFormat="1" ht="51">
      <c r="A35" s="63" t="s">
        <v>143</v>
      </c>
      <c r="B35" s="63" t="s">
        <v>96</v>
      </c>
      <c r="C35" s="63" t="s">
        <v>144</v>
      </c>
      <c r="D35" s="61"/>
      <c r="E35" s="45">
        <v>0.11</v>
      </c>
      <c r="F35" s="45">
        <v>0.11</v>
      </c>
      <c r="G35" s="66">
        <v>46143</v>
      </c>
      <c r="H35" s="45" t="str">
        <f>IF(ISNUMBER(E35),F35-E35,"N/A")</f>
        <v>N/A</v>
      </c>
      <c r="I35" s="46" t="str">
        <f>IF(E35&lt;&gt;"",IF(F35=E35,"No Change",IF(F35&gt;E35,"Increase","Decrease")),"New")</f>
        <v>Increase</v>
      </c>
      <c r="J35" s="58"/>
      <c r="K35" s="59" t="str">
        <f>IF(LEN(J35)&gt;0,IF(OR(ISLOGICAL(J35),J35="TRUE"),"Yes",""),"")</f>
      </c>
      <c r="L35" s="59"/>
      <c r="M35" s="59"/>
      <c r="N35" s="62" t="str">
        <f>IF(LEN(M35)&gt;0,IF(OR(ISLOGICAL(M35),M35="TRUE"),"Yes",""),"")</f>
      </c>
      <c r="O35" s="59"/>
      <c r="P35" s="62" t="str">
        <f>IF(LEN(O35)&gt;0,IF(OR(ISLOGICAL(O35),O35="TRUE"),"Yes",""),"")</f>
      </c>
      <c r="Q35" s="62" t="s">
        <v>98</v>
      </c>
      <c r="R35" s="63"/>
    </row>
    <row r="36" spans="1:18" s="47" customFormat="1" ht="51">
      <c r="A36" s="63" t="s">
        <v>145</v>
      </c>
      <c r="B36" s="63" t="s">
        <v>96</v>
      </c>
      <c r="C36" s="63" t="s">
        <v>146</v>
      </c>
      <c r="D36" s="61"/>
      <c r="E36" s="45">
        <v>0.03</v>
      </c>
      <c r="F36" s="45">
        <v>0.03</v>
      </c>
      <c r="G36" s="66">
        <v>46074</v>
      </c>
      <c r="H36" s="45" t="str">
        <f>IF(ISNUMBER(E36),F36-E36,"N/A")</f>
        <v>N/A</v>
      </c>
      <c r="I36" s="46" t="str">
        <f>IF(E36&lt;&gt;"",IF(F36=E36,"No Change",IF(F36&gt;E36,"Increase","Decrease")),"New")</f>
        <v>Increase</v>
      </c>
      <c r="J36" s="58"/>
      <c r="K36" s="59" t="str">
        <f>IF(LEN(J36)&gt;0,IF(OR(ISLOGICAL(J36),J36="TRUE"),"Yes",""),"")</f>
      </c>
      <c r="L36" s="59"/>
      <c r="M36" s="59"/>
      <c r="N36" s="62" t="str">
        <f>IF(LEN(M36)&gt;0,IF(OR(ISLOGICAL(M36),M36="TRUE"),"Yes",""),"")</f>
      </c>
      <c r="O36" s="59"/>
      <c r="P36" s="62" t="str">
        <f>IF(LEN(O36)&gt;0,IF(OR(ISLOGICAL(O36),O36="TRUE"),"Yes",""),"")</f>
      </c>
      <c r="Q36" s="62" t="s">
        <v>98</v>
      </c>
      <c r="R36" s="63"/>
    </row>
    <row r="37" spans="1:18" s="47" customFormat="1" ht="51">
      <c r="A37" s="63" t="s">
        <v>147</v>
      </c>
      <c r="B37" s="63" t="s">
        <v>96</v>
      </c>
      <c r="C37" s="63" t="s">
        <v>148</v>
      </c>
      <c r="D37" s="61"/>
      <c r="E37" s="45">
        <v>0.19</v>
      </c>
      <c r="F37" s="45">
        <v>0.19</v>
      </c>
      <c r="G37" s="66">
        <v>46082</v>
      </c>
      <c r="H37" s="45" t="str">
        <f>IF(ISNUMBER(E37),F37-E37,"N/A")</f>
        <v>N/A</v>
      </c>
      <c r="I37" s="46" t="str">
        <f>IF(E37&lt;&gt;"",IF(F37=E37,"No Change",IF(F37&gt;E37,"Increase","Decrease")),"New")</f>
        <v>Increase</v>
      </c>
      <c r="J37" s="58" t="s">
        <v>122</v>
      </c>
      <c r="K37" s="59" t="str">
        <f>IF(LEN(J37)&gt;0,IF(OR(ISLOGICAL(J37),J37="TRUE"),"Yes",""),"")</f>
      </c>
      <c r="L37" s="59"/>
      <c r="M37" s="59"/>
      <c r="N37" s="62" t="str">
        <f>IF(LEN(M37)&gt;0,IF(OR(ISLOGICAL(M37),M37="TRUE"),"Yes",""),"")</f>
      </c>
      <c r="O37" s="59"/>
      <c r="P37" s="62" t="str">
        <f>IF(LEN(O37)&gt;0,IF(OR(ISLOGICAL(O37),O37="TRUE"),"Yes",""),"")</f>
      </c>
      <c r="Q37" s="62" t="s">
        <v>98</v>
      </c>
      <c r="R37" s="63"/>
    </row>
    <row r="38" spans="1:18" s="47" customFormat="1" ht="51">
      <c r="A38" s="63" t="s">
        <v>149</v>
      </c>
      <c r="B38" s="63" t="s">
        <v>96</v>
      </c>
      <c r="C38" s="63" t="s">
        <v>150</v>
      </c>
      <c r="D38" s="61"/>
      <c r="E38" s="45">
        <v>0.174</v>
      </c>
      <c r="F38" s="45">
        <v>0.174</v>
      </c>
      <c r="G38" s="66">
        <v>45854</v>
      </c>
      <c r="H38" s="45" t="str">
        <f>IF(ISNUMBER(E38),F38-E38,"N/A")</f>
        <v>N/A</v>
      </c>
      <c r="I38" s="46" t="str">
        <f>IF(E38&lt;&gt;"",IF(F38=E38,"No Change",IF(F38&gt;E38,"Increase","Decrease")),"New")</f>
        <v>Increase</v>
      </c>
      <c r="J38" s="58"/>
      <c r="K38" s="59" t="str">
        <f>IF(LEN(J38)&gt;0,IF(OR(ISLOGICAL(J38),J38="TRUE"),"Yes",""),"")</f>
      </c>
      <c r="L38" s="59"/>
      <c r="M38" s="59"/>
      <c r="N38" s="62" t="str">
        <f>IF(LEN(M38)&gt;0,IF(OR(ISLOGICAL(M38),M38="TRUE"),"Yes",""),"")</f>
      </c>
      <c r="O38" s="59"/>
      <c r="P38" s="62" t="str">
        <f>IF(LEN(O38)&gt;0,IF(OR(ISLOGICAL(O38),O38="TRUE"),"Yes",""),"")</f>
      </c>
      <c r="Q38" s="62" t="s">
        <v>98</v>
      </c>
      <c r="R38" s="63"/>
    </row>
    <row r="39" spans="1:18" s="47" customFormat="1" ht="51">
      <c r="A39" s="63" t="s">
        <v>151</v>
      </c>
      <c r="B39" s="63" t="s">
        <v>96</v>
      </c>
      <c r="C39" s="63" t="s">
        <v>152</v>
      </c>
      <c r="D39" s="61"/>
      <c r="E39" s="45">
        <v>0.3355</v>
      </c>
      <c r="F39" s="45">
        <v>0.3355</v>
      </c>
      <c r="G39" s="66">
        <v>46064</v>
      </c>
      <c r="H39" s="45" t="str">
        <f>IF(ISNUMBER(E39),F39-E39,"N/A")</f>
        <v>N/A</v>
      </c>
      <c r="I39" s="46" t="str">
        <f>IF(E39&lt;&gt;"",IF(F39=E39,"No Change",IF(F39&gt;E39,"Increase","Decrease")),"New")</f>
        <v>Increase</v>
      </c>
      <c r="J39" s="58" t="s">
        <v>122</v>
      </c>
      <c r="K39" s="59" t="str">
        <f>IF(LEN(J39)&gt;0,IF(OR(ISLOGICAL(J39),J39="TRUE"),"Yes",""),"")</f>
      </c>
      <c r="L39" s="59"/>
      <c r="M39" s="59"/>
      <c r="N39" s="62" t="str">
        <f>IF(LEN(M39)&gt;0,IF(OR(ISLOGICAL(M39),M39="TRUE"),"Yes",""),"")</f>
      </c>
      <c r="O39" s="59"/>
      <c r="P39" s="62" t="str">
        <f>IF(LEN(O39)&gt;0,IF(OR(ISLOGICAL(O39),O39="TRUE"),"Yes",""),"")</f>
      </c>
      <c r="Q39" s="62" t="s">
        <v>98</v>
      </c>
      <c r="R39" s="63"/>
    </row>
    <row r="40" spans="1:18" s="47" customFormat="1" ht="51">
      <c r="A40" s="63" t="s">
        <v>153</v>
      </c>
      <c r="B40" s="63" t="s">
        <v>96</v>
      </c>
      <c r="C40" s="63" t="s">
        <v>154</v>
      </c>
      <c r="D40" s="61"/>
      <c r="E40" s="45">
        <v>0.3355</v>
      </c>
      <c r="F40" s="45">
        <v>0.3355</v>
      </c>
      <c r="G40" s="66">
        <v>46064</v>
      </c>
      <c r="H40" s="45" t="str">
        <f>IF(ISNUMBER(E40),F40-E40,"N/A")</f>
        <v>N/A</v>
      </c>
      <c r="I40" s="46" t="str">
        <f>IF(E40&lt;&gt;"",IF(F40=E40,"No Change",IF(F40&gt;E40,"Increase","Decrease")),"New")</f>
        <v>Increase</v>
      </c>
      <c r="J40" s="58" t="s">
        <v>122</v>
      </c>
      <c r="K40" s="59" t="str">
        <f>IF(LEN(J40)&gt;0,IF(OR(ISLOGICAL(J40),J40="TRUE"),"Yes",""),"")</f>
      </c>
      <c r="L40" s="59"/>
      <c r="M40" s="59"/>
      <c r="N40" s="62" t="str">
        <f>IF(LEN(M40)&gt;0,IF(OR(ISLOGICAL(M40),M40="TRUE"),"Yes",""),"")</f>
      </c>
      <c r="O40" s="59"/>
      <c r="P40" s="62" t="str">
        <f>IF(LEN(O40)&gt;0,IF(OR(ISLOGICAL(O40),O40="TRUE"),"Yes",""),"")</f>
      </c>
      <c r="Q40" s="62" t="s">
        <v>98</v>
      </c>
      <c r="R40" s="63"/>
    </row>
    <row r="41" spans="1:18" s="47" customFormat="1" ht="51">
      <c r="A41" s="63" t="s">
        <v>155</v>
      </c>
      <c r="B41" s="63" t="s">
        <v>96</v>
      </c>
      <c r="C41" s="63" t="s">
        <v>156</v>
      </c>
      <c r="D41" s="61"/>
      <c r="E41" s="45">
        <v>0.3355</v>
      </c>
      <c r="F41" s="45">
        <v>0.3355</v>
      </c>
      <c r="G41" s="66">
        <v>46064</v>
      </c>
      <c r="H41" s="45" t="str">
        <f>IF(ISNUMBER(E41),F41-E41,"N/A")</f>
        <v>N/A</v>
      </c>
      <c r="I41" s="46" t="str">
        <f>IF(E41&lt;&gt;"",IF(F41=E41,"No Change",IF(F41&gt;E41,"Increase","Decrease")),"New")</f>
        <v>Increase</v>
      </c>
      <c r="J41" s="58" t="s">
        <v>122</v>
      </c>
      <c r="K41" s="59" t="str">
        <f>IF(LEN(J41)&gt;0,IF(OR(ISLOGICAL(J41),J41="TRUE"),"Yes",""),"")</f>
      </c>
      <c r="L41" s="59"/>
      <c r="M41" s="59"/>
      <c r="N41" s="62" t="str">
        <f>IF(LEN(M41)&gt;0,IF(OR(ISLOGICAL(M41),M41="TRUE"),"Yes",""),"")</f>
      </c>
      <c r="O41" s="59"/>
      <c r="P41" s="62" t="str">
        <f>IF(LEN(O41)&gt;0,IF(OR(ISLOGICAL(O41),O41="TRUE"),"Yes",""),"")</f>
      </c>
      <c r="Q41" s="62" t="s">
        <v>98</v>
      </c>
      <c r="R41" s="63"/>
    </row>
    <row r="42" spans="1:18" s="47" customFormat="1" ht="51">
      <c r="A42" s="63" t="s">
        <v>157</v>
      </c>
      <c r="B42" s="63" t="s">
        <v>96</v>
      </c>
      <c r="C42" s="63" t="s">
        <v>158</v>
      </c>
      <c r="D42" s="61"/>
      <c r="E42" s="45">
        <v>0.235</v>
      </c>
      <c r="F42" s="45">
        <v>0.235</v>
      </c>
      <c r="G42" s="66">
        <v>46074</v>
      </c>
      <c r="H42" s="45" t="str">
        <f>IF(ISNUMBER(E42),F42-E42,"N/A")</f>
        <v>N/A</v>
      </c>
      <c r="I42" s="46" t="str">
        <f>IF(E42&lt;&gt;"",IF(F42=E42,"No Change",IF(F42&gt;E42,"Increase","Decrease")),"New")</f>
        <v>Increase</v>
      </c>
      <c r="J42" s="58"/>
      <c r="K42" s="59" t="str">
        <f>IF(LEN(J42)&gt;0,IF(OR(ISLOGICAL(J42),J42="TRUE"),"Yes",""),"")</f>
      </c>
      <c r="L42" s="59"/>
      <c r="M42" s="59"/>
      <c r="N42" s="62" t="str">
        <f>IF(LEN(M42)&gt;0,IF(OR(ISLOGICAL(M42),M42="TRUE"),"Yes",""),"")</f>
      </c>
      <c r="O42" s="59"/>
      <c r="P42" s="62" t="str">
        <f>IF(LEN(O42)&gt;0,IF(OR(ISLOGICAL(O42),O42="TRUE"),"Yes",""),"")</f>
      </c>
      <c r="Q42" s="62" t="s">
        <v>98</v>
      </c>
      <c r="R42" s="63"/>
    </row>
    <row r="43" spans="1:18" s="47" customFormat="1" ht="51">
      <c r="A43" s="63" t="s">
        <v>159</v>
      </c>
      <c r="B43" s="63" t="s">
        <v>96</v>
      </c>
      <c r="C43" s="63" t="s">
        <v>160</v>
      </c>
      <c r="D43" s="61"/>
      <c r="E43" s="45">
        <v>0.235</v>
      </c>
      <c r="F43" s="45">
        <v>0.235</v>
      </c>
      <c r="G43" s="66">
        <v>46082</v>
      </c>
      <c r="H43" s="45" t="str">
        <f>IF(ISNUMBER(E43),F43-E43,"N/A")</f>
        <v>N/A</v>
      </c>
      <c r="I43" s="46" t="str">
        <f>IF(E43&lt;&gt;"",IF(F43=E43,"No Change",IF(F43&gt;E43,"Increase","Decrease")),"New")</f>
        <v>Increase</v>
      </c>
      <c r="J43" s="58"/>
      <c r="K43" s="59" t="str">
        <f>IF(LEN(J43)&gt;0,IF(OR(ISLOGICAL(J43),J43="TRUE"),"Yes",""),"")</f>
      </c>
      <c r="L43" s="59"/>
      <c r="M43" s="59"/>
      <c r="N43" s="62" t="str">
        <f>IF(LEN(M43)&gt;0,IF(OR(ISLOGICAL(M43),M43="TRUE"),"Yes",""),"")</f>
      </c>
      <c r="O43" s="59"/>
      <c r="P43" s="62" t="str">
        <f>IF(LEN(O43)&gt;0,IF(OR(ISLOGICAL(O43),O43="TRUE"),"Yes",""),"")</f>
      </c>
      <c r="Q43" s="62" t="s">
        <v>98</v>
      </c>
      <c r="R43" s="63"/>
    </row>
    <row r="44" spans="1:18" s="47" customFormat="1" ht="51">
      <c r="A44" s="63" t="s">
        <v>161</v>
      </c>
      <c r="B44" s="63" t="s">
        <v>96</v>
      </c>
      <c r="C44" s="63" t="s">
        <v>162</v>
      </c>
      <c r="D44" s="61"/>
      <c r="E44" s="45">
        <v>0.235</v>
      </c>
      <c r="F44" s="45">
        <v>0.235</v>
      </c>
      <c r="G44" s="66">
        <v>46082</v>
      </c>
      <c r="H44" s="45" t="str">
        <f>IF(ISNUMBER(E44),F44-E44,"N/A")</f>
        <v>N/A</v>
      </c>
      <c r="I44" s="46" t="str">
        <f>IF(E44&lt;&gt;"",IF(F44=E44,"No Change",IF(F44&gt;E44,"Increase","Decrease")),"New")</f>
        <v>Increase</v>
      </c>
      <c r="J44" s="58"/>
      <c r="K44" s="59" t="str">
        <f>IF(LEN(J44)&gt;0,IF(OR(ISLOGICAL(J44),J44="TRUE"),"Yes",""),"")</f>
      </c>
      <c r="L44" s="59"/>
      <c r="M44" s="59"/>
      <c r="N44" s="62" t="str">
        <f>IF(LEN(M44)&gt;0,IF(OR(ISLOGICAL(M44),M44="TRUE"),"Yes",""),"")</f>
      </c>
      <c r="O44" s="59"/>
      <c r="P44" s="62" t="str">
        <f>IF(LEN(O44)&gt;0,IF(OR(ISLOGICAL(O44),O44="TRUE"),"Yes",""),"")</f>
      </c>
      <c r="Q44" s="62" t="s">
        <v>98</v>
      </c>
      <c r="R44" s="63"/>
    </row>
    <row r="45" spans="1:18" s="47" customFormat="1" ht="51">
      <c r="A45" s="63" t="s">
        <v>163</v>
      </c>
      <c r="B45" s="63" t="s">
        <v>96</v>
      </c>
      <c r="C45" s="63" t="s">
        <v>164</v>
      </c>
      <c r="D45" s="61"/>
      <c r="E45" s="45">
        <v>0.235</v>
      </c>
      <c r="F45" s="45">
        <v>0.235</v>
      </c>
      <c r="G45" s="66">
        <v>46082</v>
      </c>
      <c r="H45" s="45" t="str">
        <f>IF(ISNUMBER(E45),F45-E45,"N/A")</f>
        <v>N/A</v>
      </c>
      <c r="I45" s="46" t="str">
        <f>IF(E45&lt;&gt;"",IF(F45=E45,"No Change",IF(F45&gt;E45,"Increase","Decrease")),"New")</f>
        <v>Increase</v>
      </c>
      <c r="J45" s="58"/>
      <c r="K45" s="59" t="str">
        <f>IF(LEN(J45)&gt;0,IF(OR(ISLOGICAL(J45),J45="TRUE"),"Yes",""),"")</f>
      </c>
      <c r="L45" s="59"/>
      <c r="M45" s="59"/>
      <c r="N45" s="62" t="str">
        <f>IF(LEN(M45)&gt;0,IF(OR(ISLOGICAL(M45),M45="TRUE"),"Yes",""),"")</f>
      </c>
      <c r="O45" s="59"/>
      <c r="P45" s="62" t="str">
        <f>IF(LEN(O45)&gt;0,IF(OR(ISLOGICAL(O45),O45="TRUE"),"Yes",""),"")</f>
      </c>
      <c r="Q45" s="62" t="s">
        <v>98</v>
      </c>
      <c r="R45" s="63"/>
    </row>
    <row r="46" spans="1:18" s="47" customFormat="1" ht="51">
      <c r="A46" s="63" t="s">
        <v>165</v>
      </c>
      <c r="B46" s="63" t="s">
        <v>96</v>
      </c>
      <c r="C46" s="63" t="s">
        <v>166</v>
      </c>
      <c r="D46" s="61"/>
      <c r="E46" s="45">
        <v>1.2</v>
      </c>
      <c r="F46" s="45">
        <v>1.2</v>
      </c>
      <c r="G46" s="66">
        <v>41821</v>
      </c>
      <c r="H46" s="45" t="str">
        <f>IF(ISNUMBER(E46),F46-E46,"N/A")</f>
        <v>N/A</v>
      </c>
      <c r="I46" s="46" t="str">
        <f>IF(E46&lt;&gt;"",IF(F46=E46,"No Change",IF(F46&gt;E46,"Increase","Decrease")),"New")</f>
        <v>Increase</v>
      </c>
      <c r="J46" s="58"/>
      <c r="K46" s="59" t="str">
        <f>IF(LEN(J46)&gt;0,IF(OR(ISLOGICAL(J46),J46="TRUE"),"Yes",""),"")</f>
      </c>
      <c r="L46" s="59"/>
      <c r="M46" s="59"/>
      <c r="N46" s="62" t="str">
        <f>IF(LEN(M46)&gt;0,IF(OR(ISLOGICAL(M46),M46="TRUE"),"Yes",""),"")</f>
      </c>
      <c r="O46" s="59"/>
      <c r="P46" s="62" t="str">
        <f>IF(LEN(O46)&gt;0,IF(OR(ISLOGICAL(O46),O46="TRUE"),"Yes",""),"")</f>
      </c>
      <c r="Q46" s="62" t="s">
        <v>98</v>
      </c>
      <c r="R46" s="63"/>
    </row>
    <row r="47" spans="1:18" s="47" customFormat="1" ht="51">
      <c r="A47" s="63" t="s">
        <v>167</v>
      </c>
      <c r="B47" s="63" t="s">
        <v>96</v>
      </c>
      <c r="C47" s="63" t="s">
        <v>168</v>
      </c>
      <c r="D47" s="61"/>
      <c r="E47" s="45">
        <v>1.2</v>
      </c>
      <c r="F47" s="45">
        <v>1.2</v>
      </c>
      <c r="G47" s="66">
        <v>41821</v>
      </c>
      <c r="H47" s="45" t="str">
        <f>IF(ISNUMBER(E47),F47-E47,"N/A")</f>
        <v>N/A</v>
      </c>
      <c r="I47" s="46" t="str">
        <f>IF(E47&lt;&gt;"",IF(F47=E47,"No Change",IF(F47&gt;E47,"Increase","Decrease")),"New")</f>
        <v>Increase</v>
      </c>
      <c r="J47" s="58"/>
      <c r="K47" s="59" t="str">
        <f>IF(LEN(J47)&gt;0,IF(OR(ISLOGICAL(J47),J47="TRUE"),"Yes",""),"")</f>
      </c>
      <c r="L47" s="59"/>
      <c r="M47" s="59"/>
      <c r="N47" s="62" t="str">
        <f>IF(LEN(M47)&gt;0,IF(OR(ISLOGICAL(M47),M47="TRUE"),"Yes",""),"")</f>
      </c>
      <c r="O47" s="59"/>
      <c r="P47" s="62" t="str">
        <f>IF(LEN(O47)&gt;0,IF(OR(ISLOGICAL(O47),O47="TRUE"),"Yes",""),"")</f>
      </c>
      <c r="Q47" s="62" t="s">
        <v>98</v>
      </c>
      <c r="R47" s="63"/>
    </row>
    <row r="48" spans="1:18" s="47" customFormat="1" ht="51">
      <c r="A48" s="63" t="s">
        <v>169</v>
      </c>
      <c r="B48" s="63" t="s">
        <v>96</v>
      </c>
      <c r="C48" s="63" t="s">
        <v>170</v>
      </c>
      <c r="D48" s="61"/>
      <c r="E48" s="45">
        <v>0.245</v>
      </c>
      <c r="F48" s="45">
        <v>0.245</v>
      </c>
      <c r="G48" s="66">
        <v>46078</v>
      </c>
      <c r="H48" s="45" t="str">
        <f>IF(ISNUMBER(E48),F48-E48,"N/A")</f>
        <v>N/A</v>
      </c>
      <c r="I48" s="46" t="str">
        <f>IF(E48&lt;&gt;"",IF(F48=E48,"No Change",IF(F48&gt;E48,"Increase","Decrease")),"New")</f>
        <v>Increase</v>
      </c>
      <c r="J48" s="58"/>
      <c r="K48" s="59" t="str">
        <f>IF(LEN(J48)&gt;0,IF(OR(ISLOGICAL(J48),J48="TRUE"),"Yes",""),"")</f>
      </c>
      <c r="L48" s="59"/>
      <c r="M48" s="59"/>
      <c r="N48" s="62" t="str">
        <f>IF(LEN(M48)&gt;0,IF(OR(ISLOGICAL(M48),M48="TRUE"),"Yes",""),"")</f>
      </c>
      <c r="O48" s="59"/>
      <c r="P48" s="62" t="str">
        <f>IF(LEN(O48)&gt;0,IF(OR(ISLOGICAL(O48),O48="TRUE"),"Yes",""),"")</f>
      </c>
      <c r="Q48" s="62" t="s">
        <v>98</v>
      </c>
      <c r="R48" s="63"/>
    </row>
    <row r="49" spans="1:18" s="47" customFormat="1" ht="51">
      <c r="A49" s="63" t="s">
        <v>171</v>
      </c>
      <c r="B49" s="63" t="s">
        <v>96</v>
      </c>
      <c r="C49" s="63" t="s">
        <v>172</v>
      </c>
      <c r="D49" s="61"/>
      <c r="E49" s="45">
        <v>0.245</v>
      </c>
      <c r="F49" s="45">
        <v>0.245</v>
      </c>
      <c r="G49" s="66">
        <v>46050</v>
      </c>
      <c r="H49" s="45" t="str">
        <f>IF(ISNUMBER(E49),F49-E49,"N/A")</f>
        <v>N/A</v>
      </c>
      <c r="I49" s="46" t="str">
        <f>IF(E49&lt;&gt;"",IF(F49=E49,"No Change",IF(F49&gt;E49,"Increase","Decrease")),"New")</f>
        <v>Increase</v>
      </c>
      <c r="J49" s="58"/>
      <c r="K49" s="59" t="str">
        <f>IF(LEN(J49)&gt;0,IF(OR(ISLOGICAL(J49),J49="TRUE"),"Yes",""),"")</f>
      </c>
      <c r="L49" s="59"/>
      <c r="M49" s="59"/>
      <c r="N49" s="62" t="str">
        <f>IF(LEN(M49)&gt;0,IF(OR(ISLOGICAL(M49),M49="TRUE"),"Yes",""),"")</f>
      </c>
      <c r="O49" s="59"/>
      <c r="P49" s="62" t="str">
        <f>IF(LEN(O49)&gt;0,IF(OR(ISLOGICAL(O49),O49="TRUE"),"Yes",""),"")</f>
      </c>
      <c r="Q49" s="62" t="s">
        <v>98</v>
      </c>
      <c r="R49" s="63"/>
    </row>
    <row r="50" spans="1:18" s="47" customFormat="1" ht="51">
      <c r="A50" s="63" t="s">
        <v>173</v>
      </c>
      <c r="B50" s="63" t="s">
        <v>96</v>
      </c>
      <c r="C50" s="63" t="s">
        <v>174</v>
      </c>
      <c r="D50" s="61"/>
      <c r="E50" s="45">
        <v>0.245</v>
      </c>
      <c r="F50" s="45">
        <v>0.245</v>
      </c>
      <c r="G50" s="66">
        <v>46078</v>
      </c>
      <c r="H50" s="45" t="str">
        <f>IF(ISNUMBER(E50),F50-E50,"N/A")</f>
        <v>N/A</v>
      </c>
      <c r="I50" s="46" t="str">
        <f>IF(E50&lt;&gt;"",IF(F50=E50,"No Change",IF(F50&gt;E50,"Increase","Decrease")),"New")</f>
        <v>Increase</v>
      </c>
      <c r="J50" s="58"/>
      <c r="K50" s="59" t="str">
        <f>IF(LEN(J50)&gt;0,IF(OR(ISLOGICAL(J50),J50="TRUE"),"Yes",""),"")</f>
      </c>
      <c r="L50" s="59"/>
      <c r="M50" s="59"/>
      <c r="N50" s="62" t="str">
        <f>IF(LEN(M50)&gt;0,IF(OR(ISLOGICAL(M50),M50="TRUE"),"Yes",""),"")</f>
      </c>
      <c r="O50" s="59"/>
      <c r="P50" s="62" t="str">
        <f>IF(LEN(O50)&gt;0,IF(OR(ISLOGICAL(O50),O50="TRUE"),"Yes",""),"")</f>
      </c>
      <c r="Q50" s="62" t="s">
        <v>98</v>
      </c>
      <c r="R50" s="63"/>
    </row>
    <row r="51" spans="1:18" s="47" customFormat="1" ht="51">
      <c r="A51" s="63" t="s">
        <v>175</v>
      </c>
      <c r="B51" s="63" t="s">
        <v>96</v>
      </c>
      <c r="C51" s="63" t="s">
        <v>176</v>
      </c>
      <c r="D51" s="61"/>
      <c r="E51" s="45">
        <v>0.017</v>
      </c>
      <c r="F51" s="45">
        <v>0.017</v>
      </c>
      <c r="G51" s="66">
        <v>46074</v>
      </c>
      <c r="H51" s="45" t="str">
        <f>IF(ISNUMBER(E51),F51-E51,"N/A")</f>
        <v>N/A</v>
      </c>
      <c r="I51" s="46" t="str">
        <f>IF(E51&lt;&gt;"",IF(F51=E51,"No Change",IF(F51&gt;E51,"Increase","Decrease")),"New")</f>
        <v>Increase</v>
      </c>
      <c r="J51" s="58"/>
      <c r="K51" s="59" t="str">
        <f>IF(LEN(J51)&gt;0,IF(OR(ISLOGICAL(J51),J51="TRUE"),"Yes",""),"")</f>
      </c>
      <c r="L51" s="59"/>
      <c r="M51" s="59"/>
      <c r="N51" s="62" t="str">
        <f>IF(LEN(M51)&gt;0,IF(OR(ISLOGICAL(M51),M51="TRUE"),"Yes",""),"")</f>
      </c>
      <c r="O51" s="59"/>
      <c r="P51" s="62" t="str">
        <f>IF(LEN(O51)&gt;0,IF(OR(ISLOGICAL(O51),O51="TRUE"),"Yes",""),"")</f>
      </c>
      <c r="Q51" s="62" t="s">
        <v>98</v>
      </c>
      <c r="R51" s="63"/>
    </row>
    <row r="52" spans="1:18" s="47" customFormat="1" ht="51">
      <c r="A52" s="63" t="s">
        <v>177</v>
      </c>
      <c r="B52" s="63" t="s">
        <v>96</v>
      </c>
      <c r="C52" s="63" t="s">
        <v>178</v>
      </c>
      <c r="D52" s="61"/>
      <c r="E52" s="45">
        <v>0.007</v>
      </c>
      <c r="F52" s="45">
        <v>0.007</v>
      </c>
      <c r="G52" s="66">
        <v>46074</v>
      </c>
      <c r="H52" s="45" t="str">
        <f>IF(ISNUMBER(E52),F52-E52,"N/A")</f>
        <v>N/A</v>
      </c>
      <c r="I52" s="46" t="str">
        <f>IF(E52&lt;&gt;"",IF(F52=E52,"No Change",IF(F52&gt;E52,"Increase","Decrease")),"New")</f>
        <v>Increase</v>
      </c>
      <c r="J52" s="58"/>
      <c r="K52" s="59" t="str">
        <f>IF(LEN(J52)&gt;0,IF(OR(ISLOGICAL(J52),J52="TRUE"),"Yes",""),"")</f>
      </c>
      <c r="L52" s="59"/>
      <c r="M52" s="59"/>
      <c r="N52" s="62" t="str">
        <f>IF(LEN(M52)&gt;0,IF(OR(ISLOGICAL(M52),M52="TRUE"),"Yes",""),"")</f>
      </c>
      <c r="O52" s="59"/>
      <c r="P52" s="62" t="str">
        <f>IF(LEN(O52)&gt;0,IF(OR(ISLOGICAL(O52),O52="TRUE"),"Yes",""),"")</f>
      </c>
      <c r="Q52" s="62" t="s">
        <v>98</v>
      </c>
      <c r="R52" s="63"/>
    </row>
    <row r="53" spans="1:18" s="47" customFormat="1" ht="51">
      <c r="A53" s="63" t="s">
        <v>179</v>
      </c>
      <c r="B53" s="63" t="s">
        <v>96</v>
      </c>
      <c r="C53" s="63" t="s">
        <v>180</v>
      </c>
      <c r="D53" s="61"/>
      <c r="E53" s="45">
        <v>0.007</v>
      </c>
      <c r="F53" s="45">
        <v>0.007</v>
      </c>
      <c r="G53" s="66">
        <v>46074</v>
      </c>
      <c r="H53" s="45" t="str">
        <f>IF(ISNUMBER(E53),F53-E53,"N/A")</f>
        <v>N/A</v>
      </c>
      <c r="I53" s="46" t="str">
        <f>IF(E53&lt;&gt;"",IF(F53=E53,"No Change",IF(F53&gt;E53,"Increase","Decrease")),"New")</f>
        <v>Increase</v>
      </c>
      <c r="J53" s="58"/>
      <c r="K53" s="59" t="str">
        <f>IF(LEN(J53)&gt;0,IF(OR(ISLOGICAL(J53),J53="TRUE"),"Yes",""),"")</f>
      </c>
      <c r="L53" s="59"/>
      <c r="M53" s="59"/>
      <c r="N53" s="62" t="str">
        <f>IF(LEN(M53)&gt;0,IF(OR(ISLOGICAL(M53),M53="TRUE"),"Yes",""),"")</f>
      </c>
      <c r="O53" s="59"/>
      <c r="P53" s="62" t="str">
        <f>IF(LEN(O53)&gt;0,IF(OR(ISLOGICAL(O53),O53="TRUE"),"Yes",""),"")</f>
      </c>
      <c r="Q53" s="62" t="s">
        <v>98</v>
      </c>
      <c r="R53" s="63"/>
    </row>
    <row r="54" spans="1:18" s="47" customFormat="1" ht="51">
      <c r="A54" s="63" t="s">
        <v>181</v>
      </c>
      <c r="B54" s="63" t="s">
        <v>96</v>
      </c>
      <c r="C54" s="63" t="s">
        <v>182</v>
      </c>
      <c r="D54" s="61"/>
      <c r="E54" s="45">
        <v>0.145</v>
      </c>
      <c r="F54" s="45">
        <v>0.145</v>
      </c>
      <c r="G54" s="66">
        <v>46082</v>
      </c>
      <c r="H54" s="45" t="str">
        <f>IF(ISNUMBER(E54),F54-E54,"N/A")</f>
        <v>N/A</v>
      </c>
      <c r="I54" s="46" t="str">
        <f>IF(E54&lt;&gt;"",IF(F54=E54,"No Change",IF(F54&gt;E54,"Increase","Decrease")),"New")</f>
        <v>Increase</v>
      </c>
      <c r="J54" s="58" t="s">
        <v>122</v>
      </c>
      <c r="K54" s="59" t="str">
        <f>IF(LEN(J54)&gt;0,IF(OR(ISLOGICAL(J54),J54="TRUE"),"Yes",""),"")</f>
      </c>
      <c r="L54" s="59"/>
      <c r="M54" s="59"/>
      <c r="N54" s="62" t="str">
        <f>IF(LEN(M54)&gt;0,IF(OR(ISLOGICAL(M54),M54="TRUE"),"Yes",""),"")</f>
      </c>
      <c r="O54" s="59"/>
      <c r="P54" s="62" t="str">
        <f>IF(LEN(O54)&gt;0,IF(OR(ISLOGICAL(O54),O54="TRUE"),"Yes",""),"")</f>
      </c>
      <c r="Q54" s="62" t="s">
        <v>98</v>
      </c>
      <c r="R54" s="63"/>
    </row>
    <row r="55" spans="1:18" s="47" customFormat="1" ht="51">
      <c r="A55" s="63" t="s">
        <v>183</v>
      </c>
      <c r="B55" s="63" t="s">
        <v>96</v>
      </c>
      <c r="C55" s="63" t="s">
        <v>184</v>
      </c>
      <c r="D55" s="61"/>
      <c r="E55" s="45">
        <v>0.146</v>
      </c>
      <c r="F55" s="45">
        <v>0.146</v>
      </c>
      <c r="G55" s="66">
        <v>46092</v>
      </c>
      <c r="H55" s="45" t="str">
        <f>IF(ISNUMBER(E55),F55-E55,"N/A")</f>
        <v>N/A</v>
      </c>
      <c r="I55" s="46" t="str">
        <f>IF(E55&lt;&gt;"",IF(F55=E55,"No Change",IF(F55&gt;E55,"Increase","Decrease")),"New")</f>
        <v>Increase</v>
      </c>
      <c r="J55" s="58"/>
      <c r="K55" s="59" t="str">
        <f>IF(LEN(J55)&gt;0,IF(OR(ISLOGICAL(J55),J55="TRUE"),"Yes",""),"")</f>
      </c>
      <c r="L55" s="59"/>
      <c r="M55" s="59"/>
      <c r="N55" s="62" t="str">
        <f>IF(LEN(M55)&gt;0,IF(OR(ISLOGICAL(M55),M55="TRUE"),"Yes",""),"")</f>
      </c>
      <c r="O55" s="59"/>
      <c r="P55" s="62" t="str">
        <f>IF(LEN(O55)&gt;0,IF(OR(ISLOGICAL(O55),O55="TRUE"),"Yes",""),"")</f>
      </c>
      <c r="Q55" s="62" t="s">
        <v>98</v>
      </c>
      <c r="R55" s="63"/>
    </row>
    <row r="56" spans="1:18" s="47" customFormat="1" ht="51">
      <c r="A56" s="63" t="s">
        <v>185</v>
      </c>
      <c r="B56" s="63" t="s">
        <v>96</v>
      </c>
      <c r="C56" s="63" t="s">
        <v>186</v>
      </c>
      <c r="D56" s="61"/>
      <c r="E56" s="45">
        <v>0.146</v>
      </c>
      <c r="F56" s="45">
        <v>0.146</v>
      </c>
      <c r="G56" s="66">
        <v>46082</v>
      </c>
      <c r="H56" s="45" t="str">
        <f>IF(ISNUMBER(E56),F56-E56,"N/A")</f>
        <v>N/A</v>
      </c>
      <c r="I56" s="46" t="str">
        <f>IF(E56&lt;&gt;"",IF(F56=E56,"No Change",IF(F56&gt;E56,"Increase","Decrease")),"New")</f>
        <v>Increase</v>
      </c>
      <c r="J56" s="58"/>
      <c r="K56" s="59" t="str">
        <f>IF(LEN(J56)&gt;0,IF(OR(ISLOGICAL(J56),J56="TRUE"),"Yes",""),"")</f>
      </c>
      <c r="L56" s="59"/>
      <c r="M56" s="59"/>
      <c r="N56" s="62" t="str">
        <f>IF(LEN(M56)&gt;0,IF(OR(ISLOGICAL(M56),M56="TRUE"),"Yes",""),"")</f>
      </c>
      <c r="O56" s="59"/>
      <c r="P56" s="62" t="str">
        <f>IF(LEN(O56)&gt;0,IF(OR(ISLOGICAL(O56),O56="TRUE"),"Yes",""),"")</f>
      </c>
      <c r="Q56" s="62" t="s">
        <v>98</v>
      </c>
      <c r="R56" s="63"/>
    </row>
    <row r="57" spans="1:18" s="47" customFormat="1" ht="51">
      <c r="A57" s="63" t="s">
        <v>187</v>
      </c>
      <c r="B57" s="63" t="s">
        <v>96</v>
      </c>
      <c r="C57" s="63" t="s">
        <v>188</v>
      </c>
      <c r="D57" s="61"/>
      <c r="E57" s="45">
        <v>0.165</v>
      </c>
      <c r="F57" s="45">
        <v>0.165</v>
      </c>
      <c r="G57" s="66">
        <v>46082</v>
      </c>
      <c r="H57" s="45" t="str">
        <f>IF(ISNUMBER(E57),F57-E57,"N/A")</f>
        <v>N/A</v>
      </c>
      <c r="I57" s="46" t="str">
        <f>IF(E57&lt;&gt;"",IF(F57=E57,"No Change",IF(F57&gt;E57,"Increase","Decrease")),"New")</f>
        <v>Increase</v>
      </c>
      <c r="J57" s="58"/>
      <c r="K57" s="59" t="str">
        <f>IF(LEN(J57)&gt;0,IF(OR(ISLOGICAL(J57),J57="TRUE"),"Yes",""),"")</f>
      </c>
      <c r="L57" s="59"/>
      <c r="M57" s="59"/>
      <c r="N57" s="62" t="str">
        <f>IF(LEN(M57)&gt;0,IF(OR(ISLOGICAL(M57),M57="TRUE"),"Yes",""),"")</f>
      </c>
      <c r="O57" s="59"/>
      <c r="P57" s="62" t="str">
        <f>IF(LEN(O57)&gt;0,IF(OR(ISLOGICAL(O57),O57="TRUE"),"Yes",""),"")</f>
      </c>
      <c r="Q57" s="62" t="s">
        <v>98</v>
      </c>
      <c r="R57" s="63"/>
    </row>
    <row r="58" spans="1:18" s="47" customFormat="1" ht="51">
      <c r="A58" s="63" t="s">
        <v>189</v>
      </c>
      <c r="B58" s="63" t="s">
        <v>96</v>
      </c>
      <c r="C58" s="63" t="s">
        <v>190</v>
      </c>
      <c r="D58" s="61"/>
      <c r="E58" s="45">
        <v>0.183</v>
      </c>
      <c r="F58" s="45">
        <v>0.183</v>
      </c>
      <c r="G58" s="66">
        <v>46078</v>
      </c>
      <c r="H58" s="45" t="str">
        <f>IF(ISNUMBER(E58),F58-E58,"N/A")</f>
        <v>N/A</v>
      </c>
      <c r="I58" s="46" t="str">
        <f>IF(E58&lt;&gt;"",IF(F58=E58,"No Change",IF(F58&gt;E58,"Increase","Decrease")),"New")</f>
        <v>Increase</v>
      </c>
      <c r="J58" s="58"/>
      <c r="K58" s="59" t="str">
        <f>IF(LEN(J58)&gt;0,IF(OR(ISLOGICAL(J58),J58="TRUE"),"Yes",""),"")</f>
      </c>
      <c r="L58" s="59"/>
      <c r="M58" s="59"/>
      <c r="N58" s="62" t="str">
        <f>IF(LEN(M58)&gt;0,IF(OR(ISLOGICAL(M58),M58="TRUE"),"Yes",""),"")</f>
      </c>
      <c r="O58" s="59"/>
      <c r="P58" s="62" t="str">
        <f>IF(LEN(O58)&gt;0,IF(OR(ISLOGICAL(O58),O58="TRUE"),"Yes",""),"")</f>
      </c>
      <c r="Q58" s="62" t="s">
        <v>98</v>
      </c>
      <c r="R58" s="63"/>
    </row>
    <row r="59" spans="1:18" s="47" customFormat="1" ht="51">
      <c r="A59" s="63" t="s">
        <v>191</v>
      </c>
      <c r="B59" s="63" t="s">
        <v>96</v>
      </c>
      <c r="C59" s="63" t="s">
        <v>192</v>
      </c>
      <c r="D59" s="61"/>
      <c r="E59" s="45">
        <v>0.195</v>
      </c>
      <c r="F59" s="45">
        <v>0.195</v>
      </c>
      <c r="G59" s="66">
        <v>45252</v>
      </c>
      <c r="H59" s="45" t="str">
        <f>IF(ISNUMBER(E59),F59-E59,"N/A")</f>
        <v>N/A</v>
      </c>
      <c r="I59" s="46" t="str">
        <f>IF(E59&lt;&gt;"",IF(F59=E59,"No Change",IF(F59&gt;E59,"Increase","Decrease")),"New")</f>
        <v>Increase</v>
      </c>
      <c r="J59" s="58"/>
      <c r="K59" s="59" t="str">
        <f>IF(LEN(J59)&gt;0,IF(OR(ISLOGICAL(J59),J59="TRUE"),"Yes",""),"")</f>
      </c>
      <c r="L59" s="59"/>
      <c r="M59" s="59"/>
      <c r="N59" s="62" t="str">
        <f>IF(LEN(M59)&gt;0,IF(OR(ISLOGICAL(M59),M59="TRUE"),"Yes",""),"")</f>
      </c>
      <c r="O59" s="59"/>
      <c r="P59" s="62" t="str">
        <f>IF(LEN(O59)&gt;0,IF(OR(ISLOGICAL(O59),O59="TRUE"),"Yes",""),"")</f>
      </c>
      <c r="Q59" s="62" t="s">
        <v>98</v>
      </c>
      <c r="R59" s="63"/>
    </row>
    <row r="60" spans="1:18" s="47" customFormat="1" ht="51">
      <c r="A60" s="63" t="s">
        <v>193</v>
      </c>
      <c r="B60" s="63" t="s">
        <v>96</v>
      </c>
      <c r="C60" s="63" t="s">
        <v>194</v>
      </c>
      <c r="D60" s="61"/>
      <c r="E60" s="45">
        <v>0.185</v>
      </c>
      <c r="F60" s="45">
        <v>0.185</v>
      </c>
      <c r="G60" s="66">
        <v>46085</v>
      </c>
      <c r="H60" s="45" t="str">
        <f>IF(ISNUMBER(E60),F60-E60,"N/A")</f>
        <v>N/A</v>
      </c>
      <c r="I60" s="46" t="str">
        <f>IF(E60&lt;&gt;"",IF(F60=E60,"No Change",IF(F60&gt;E60,"Increase","Decrease")),"New")</f>
        <v>Increase</v>
      </c>
      <c r="J60" s="58" t="s">
        <v>122</v>
      </c>
      <c r="K60" s="59" t="str">
        <f>IF(LEN(J60)&gt;0,IF(OR(ISLOGICAL(J60),J60="TRUE"),"Yes",""),"")</f>
      </c>
      <c r="L60" s="59"/>
      <c r="M60" s="59"/>
      <c r="N60" s="62" t="str">
        <f>IF(LEN(M60)&gt;0,IF(OR(ISLOGICAL(M60),M60="TRUE"),"Yes",""),"")</f>
      </c>
      <c r="O60" s="59"/>
      <c r="P60" s="62" t="str">
        <f>IF(LEN(O60)&gt;0,IF(OR(ISLOGICAL(O60),O60="TRUE"),"Yes",""),"")</f>
      </c>
      <c r="Q60" s="62" t="s">
        <v>98</v>
      </c>
      <c r="R60" s="63"/>
    </row>
    <row r="61" spans="1:18" s="47" customFormat="1" ht="51">
      <c r="A61" s="63" t="s">
        <v>195</v>
      </c>
      <c r="B61" s="63" t="s">
        <v>96</v>
      </c>
      <c r="C61" s="63" t="s">
        <v>196</v>
      </c>
      <c r="D61" s="61"/>
      <c r="E61" s="45">
        <v>0.143</v>
      </c>
      <c r="F61" s="45">
        <v>0.143</v>
      </c>
      <c r="G61" s="66">
        <v>45623</v>
      </c>
      <c r="H61" s="45" t="str">
        <f>IF(ISNUMBER(E61),F61-E61,"N/A")</f>
        <v>N/A</v>
      </c>
      <c r="I61" s="46" t="str">
        <f>IF(E61&lt;&gt;"",IF(F61=E61,"No Change",IF(F61&gt;E61,"Increase","Decrease")),"New")</f>
        <v>Increase</v>
      </c>
      <c r="J61" s="58"/>
      <c r="K61" s="59" t="str">
        <f>IF(LEN(J61)&gt;0,IF(OR(ISLOGICAL(J61),J61="TRUE"),"Yes",""),"")</f>
      </c>
      <c r="L61" s="59"/>
      <c r="M61" s="59"/>
      <c r="N61" s="62" t="str">
        <f>IF(LEN(M61)&gt;0,IF(OR(ISLOGICAL(M61),M61="TRUE"),"Yes",""),"")</f>
      </c>
      <c r="O61" s="59"/>
      <c r="P61" s="62" t="str">
        <f>IF(LEN(O61)&gt;0,IF(OR(ISLOGICAL(O61),O61="TRUE"),"Yes",""),"")</f>
      </c>
      <c r="Q61" s="62" t="s">
        <v>98</v>
      </c>
      <c r="R61" s="63"/>
    </row>
    <row r="62" spans="1:18" s="47" customFormat="1" ht="51">
      <c r="A62" s="63" t="s">
        <v>197</v>
      </c>
      <c r="B62" s="63" t="s">
        <v>96</v>
      </c>
      <c r="C62" s="63" t="s">
        <v>198</v>
      </c>
      <c r="D62" s="61"/>
      <c r="E62" s="45">
        <v>0.172</v>
      </c>
      <c r="F62" s="45">
        <v>0.172</v>
      </c>
      <c r="G62" s="66">
        <v>46074</v>
      </c>
      <c r="H62" s="45" t="str">
        <f>IF(ISNUMBER(E62),F62-E62,"N/A")</f>
        <v>N/A</v>
      </c>
      <c r="I62" s="46" t="str">
        <f>IF(E62&lt;&gt;"",IF(F62=E62,"No Change",IF(F62&gt;E62,"Increase","Decrease")),"New")</f>
        <v>Increase</v>
      </c>
      <c r="J62" s="58"/>
      <c r="K62" s="59" t="str">
        <f>IF(LEN(J62)&gt;0,IF(OR(ISLOGICAL(J62),J62="TRUE"),"Yes",""),"")</f>
      </c>
      <c r="L62" s="59"/>
      <c r="M62" s="59"/>
      <c r="N62" s="62" t="str">
        <f>IF(LEN(M62)&gt;0,IF(OR(ISLOGICAL(M62),M62="TRUE"),"Yes",""),"")</f>
      </c>
      <c r="O62" s="59"/>
      <c r="P62" s="62" t="str">
        <f>IF(LEN(O62)&gt;0,IF(OR(ISLOGICAL(O62),O62="TRUE"),"Yes",""),"")</f>
      </c>
      <c r="Q62" s="62" t="s">
        <v>98</v>
      </c>
      <c r="R62" s="63"/>
    </row>
    <row r="63" spans="1:18" s="47" customFormat="1" ht="51">
      <c r="A63" s="63" t="s">
        <v>199</v>
      </c>
      <c r="B63" s="63" t="s">
        <v>96</v>
      </c>
      <c r="C63" s="63" t="s">
        <v>200</v>
      </c>
      <c r="D63" s="61"/>
      <c r="E63" s="45">
        <v>0.172</v>
      </c>
      <c r="F63" s="45">
        <v>0.172</v>
      </c>
      <c r="G63" s="66">
        <v>45210</v>
      </c>
      <c r="H63" s="45" t="str">
        <f>IF(ISNUMBER(E63),F63-E63,"N/A")</f>
        <v>N/A</v>
      </c>
      <c r="I63" s="46" t="str">
        <f>IF(E63&lt;&gt;"",IF(F63=E63,"No Change",IF(F63&gt;E63,"Increase","Decrease")),"New")</f>
        <v>Increase</v>
      </c>
      <c r="J63" s="58"/>
      <c r="K63" s="59" t="str">
        <f>IF(LEN(J63)&gt;0,IF(OR(ISLOGICAL(J63),J63="TRUE"),"Yes",""),"")</f>
      </c>
      <c r="L63" s="59"/>
      <c r="M63" s="59"/>
      <c r="N63" s="62" t="str">
        <f>IF(LEN(M63)&gt;0,IF(OR(ISLOGICAL(M63),M63="TRUE"),"Yes",""),"")</f>
      </c>
      <c r="O63" s="59"/>
      <c r="P63" s="62" t="str">
        <f>IF(LEN(O63)&gt;0,IF(OR(ISLOGICAL(O63),O63="TRUE"),"Yes",""),"")</f>
      </c>
      <c r="Q63" s="62" t="s">
        <v>98</v>
      </c>
      <c r="R63" s="63"/>
    </row>
    <row r="64" spans="1:18" s="47" customFormat="1" ht="51">
      <c r="A64" s="63" t="s">
        <v>201</v>
      </c>
      <c r="B64" s="63" t="s">
        <v>96</v>
      </c>
      <c r="C64" s="63" t="s">
        <v>202</v>
      </c>
      <c r="D64" s="61"/>
      <c r="E64" s="45">
        <v>0.192</v>
      </c>
      <c r="F64" s="45">
        <v>0.192</v>
      </c>
      <c r="G64" s="66">
        <v>46082</v>
      </c>
      <c r="H64" s="45" t="str">
        <f>IF(ISNUMBER(E64),F64-E64,"N/A")</f>
        <v>N/A</v>
      </c>
      <c r="I64" s="46" t="str">
        <f>IF(E64&lt;&gt;"",IF(F64=E64,"No Change",IF(F64&gt;E64,"Increase","Decrease")),"New")</f>
        <v>Increase</v>
      </c>
      <c r="J64" s="58"/>
      <c r="K64" s="59" t="str">
        <f>IF(LEN(J64)&gt;0,IF(OR(ISLOGICAL(J64),J64="TRUE"),"Yes",""),"")</f>
      </c>
      <c r="L64" s="59"/>
      <c r="M64" s="59"/>
      <c r="N64" s="62" t="str">
        <f>IF(LEN(M64)&gt;0,IF(OR(ISLOGICAL(M64),M64="TRUE"),"Yes",""),"")</f>
      </c>
      <c r="O64" s="59"/>
      <c r="P64" s="62" t="str">
        <f>IF(LEN(O64)&gt;0,IF(OR(ISLOGICAL(O64),O64="TRUE"),"Yes",""),"")</f>
      </c>
      <c r="Q64" s="62" t="s">
        <v>98</v>
      </c>
      <c r="R64" s="63"/>
    </row>
    <row r="65" spans="1:18" s="47" customFormat="1" ht="51">
      <c r="A65" s="63" t="s">
        <v>203</v>
      </c>
      <c r="B65" s="63" t="s">
        <v>96</v>
      </c>
      <c r="C65" s="63" t="s">
        <v>204</v>
      </c>
      <c r="D65" s="61"/>
      <c r="E65" s="45">
        <v>1.228</v>
      </c>
      <c r="F65" s="45">
        <v>1.228</v>
      </c>
      <c r="G65" s="66">
        <v>45847</v>
      </c>
      <c r="H65" s="45" t="str">
        <f>IF(ISNUMBER(E65),F65-E65,"N/A")</f>
        <v>N/A</v>
      </c>
      <c r="I65" s="46" t="str">
        <f>IF(E65&lt;&gt;"",IF(F65=E65,"No Change",IF(F65&gt;E65,"Increase","Decrease")),"New")</f>
        <v>Increase</v>
      </c>
      <c r="J65" s="58"/>
      <c r="K65" s="59" t="str">
        <f>IF(LEN(J65)&gt;0,IF(OR(ISLOGICAL(J65),J65="TRUE"),"Yes",""),"")</f>
      </c>
      <c r="L65" s="59"/>
      <c r="M65" s="59"/>
      <c r="N65" s="62" t="str">
        <f>IF(LEN(M65)&gt;0,IF(OR(ISLOGICAL(M65),M65="TRUE"),"Yes",""),"")</f>
      </c>
      <c r="O65" s="59"/>
      <c r="P65" s="62" t="str">
        <f>IF(LEN(O65)&gt;0,IF(OR(ISLOGICAL(O65),O65="TRUE"),"Yes",""),"")</f>
      </c>
      <c r="Q65" s="62" t="s">
        <v>98</v>
      </c>
      <c r="R65" s="63"/>
    </row>
    <row r="66" spans="1:18" s="47" customFormat="1" ht="51">
      <c r="A66" s="63" t="s">
        <v>205</v>
      </c>
      <c r="B66" s="63" t="s">
        <v>96</v>
      </c>
      <c r="C66" s="63" t="s">
        <v>206</v>
      </c>
      <c r="D66" s="61"/>
      <c r="E66" s="45">
        <v>1.228</v>
      </c>
      <c r="F66" s="45">
        <v>1.228</v>
      </c>
      <c r="G66" s="66">
        <v>45847</v>
      </c>
      <c r="H66" s="45" t="str">
        <f>IF(ISNUMBER(E66),F66-E66,"N/A")</f>
        <v>N/A</v>
      </c>
      <c r="I66" s="46" t="str">
        <f>IF(E66&lt;&gt;"",IF(F66=E66,"No Change",IF(F66&gt;E66,"Increase","Decrease")),"New")</f>
        <v>Increase</v>
      </c>
      <c r="J66" s="58"/>
      <c r="K66" s="59" t="str">
        <f>IF(LEN(J66)&gt;0,IF(OR(ISLOGICAL(J66),J66="TRUE"),"Yes",""),"")</f>
      </c>
      <c r="L66" s="59"/>
      <c r="M66" s="59"/>
      <c r="N66" s="62" t="str">
        <f>IF(LEN(M66)&gt;0,IF(OR(ISLOGICAL(M66),M66="TRUE"),"Yes",""),"")</f>
      </c>
      <c r="O66" s="59"/>
      <c r="P66" s="62" t="str">
        <f>IF(LEN(O66)&gt;0,IF(OR(ISLOGICAL(O66),O66="TRUE"),"Yes",""),"")</f>
      </c>
      <c r="Q66" s="62" t="s">
        <v>98</v>
      </c>
      <c r="R66" s="63"/>
    </row>
    <row r="67" spans="1:18" s="47" customFormat="1" ht="51">
      <c r="A67" s="63" t="s">
        <v>207</v>
      </c>
      <c r="B67" s="63" t="s">
        <v>96</v>
      </c>
      <c r="C67" s="63" t="s">
        <v>208</v>
      </c>
      <c r="D67" s="61"/>
      <c r="E67" s="45">
        <v>0.0125</v>
      </c>
      <c r="F67" s="45">
        <v>0.0125</v>
      </c>
      <c r="G67" s="66">
        <v>46074</v>
      </c>
      <c r="H67" s="45" t="str">
        <f>IF(ISNUMBER(E67),F67-E67,"N/A")</f>
        <v>N/A</v>
      </c>
      <c r="I67" s="46" t="str">
        <f>IF(E67&lt;&gt;"",IF(F67=E67,"No Change",IF(F67&gt;E67,"Increase","Decrease")),"New")</f>
        <v>Increase</v>
      </c>
      <c r="J67" s="58"/>
      <c r="K67" s="59" t="str">
        <f>IF(LEN(J67)&gt;0,IF(OR(ISLOGICAL(J67),J67="TRUE"),"Yes",""),"")</f>
      </c>
      <c r="L67" s="59"/>
      <c r="M67" s="59"/>
      <c r="N67" s="62" t="str">
        <f>IF(LEN(M67)&gt;0,IF(OR(ISLOGICAL(M67),M67="TRUE"),"Yes",""),"")</f>
      </c>
      <c r="O67" s="59"/>
      <c r="P67" s="62" t="str">
        <f>IF(LEN(O67)&gt;0,IF(OR(ISLOGICAL(O67),O67="TRUE"),"Yes",""),"")</f>
      </c>
      <c r="Q67" s="62" t="s">
        <v>98</v>
      </c>
      <c r="R67" s="63"/>
    </row>
    <row r="68" spans="1:18" s="47" customFormat="1" ht="51">
      <c r="A68" s="63" t="s">
        <v>209</v>
      </c>
      <c r="B68" s="63" t="s">
        <v>96</v>
      </c>
      <c r="C68" s="63" t="s">
        <v>210</v>
      </c>
      <c r="D68" s="61"/>
      <c r="E68" s="45">
        <v>0.045</v>
      </c>
      <c r="F68" s="45">
        <v>0.045</v>
      </c>
      <c r="G68" s="66">
        <v>46082</v>
      </c>
      <c r="H68" s="45" t="str">
        <f>IF(ISNUMBER(E68),F68-E68,"N/A")</f>
        <v>N/A</v>
      </c>
      <c r="I68" s="46" t="str">
        <f>IF(E68&lt;&gt;"",IF(F68=E68,"No Change",IF(F68&gt;E68,"Increase","Decrease")),"New")</f>
        <v>Increase</v>
      </c>
      <c r="J68" s="58"/>
      <c r="K68" s="59" t="str">
        <f>IF(LEN(J68)&gt;0,IF(OR(ISLOGICAL(J68),J68="TRUE"),"Yes",""),"")</f>
      </c>
      <c r="L68" s="59"/>
      <c r="M68" s="59"/>
      <c r="N68" s="62" t="str">
        <f>IF(LEN(M68)&gt;0,IF(OR(ISLOGICAL(M68),M68="TRUE"),"Yes",""),"")</f>
      </c>
      <c r="O68" s="59"/>
      <c r="P68" s="62" t="str">
        <f>IF(LEN(O68)&gt;0,IF(OR(ISLOGICAL(O68),O68="TRUE"),"Yes",""),"")</f>
      </c>
      <c r="Q68" s="62" t="s">
        <v>98</v>
      </c>
      <c r="R68" s="63"/>
    </row>
    <row r="69" spans="1:18" s="47" customFormat="1" ht="51">
      <c r="A69" s="63" t="s">
        <v>211</v>
      </c>
      <c r="B69" s="63" t="s">
        <v>96</v>
      </c>
      <c r="C69" s="63" t="s">
        <v>212</v>
      </c>
      <c r="D69" s="61"/>
      <c r="E69" s="45">
        <v>0.045</v>
      </c>
      <c r="F69" s="45">
        <v>0.045</v>
      </c>
      <c r="G69" s="66">
        <v>46082</v>
      </c>
      <c r="H69" s="45" t="str">
        <f>IF(ISNUMBER(E69),F69-E69,"N/A")</f>
        <v>N/A</v>
      </c>
      <c r="I69" s="46" t="str">
        <f>IF(E69&lt;&gt;"",IF(F69=E69,"No Change",IF(F69&gt;E69,"Increase","Decrease")),"New")</f>
        <v>Increase</v>
      </c>
      <c r="J69" s="58"/>
      <c r="K69" s="59" t="str">
        <f>IF(LEN(J69)&gt;0,IF(OR(ISLOGICAL(J69),J69="TRUE"),"Yes",""),"")</f>
      </c>
      <c r="L69" s="59"/>
      <c r="M69" s="59"/>
      <c r="N69" s="62" t="str">
        <f>IF(LEN(M69)&gt;0,IF(OR(ISLOGICAL(M69),M69="TRUE"),"Yes",""),"")</f>
      </c>
      <c r="O69" s="59"/>
      <c r="P69" s="62" t="str">
        <f>IF(LEN(O69)&gt;0,IF(OR(ISLOGICAL(O69),O69="TRUE"),"Yes",""),"")</f>
      </c>
      <c r="Q69" s="62" t="s">
        <v>98</v>
      </c>
      <c r="R69" s="63"/>
    </row>
    <row r="70" spans="1:18" s="47" customFormat="1" ht="51">
      <c r="A70" s="63" t="s">
        <v>213</v>
      </c>
      <c r="B70" s="63" t="s">
        <v>96</v>
      </c>
      <c r="C70" s="63" t="s">
        <v>214</v>
      </c>
      <c r="D70" s="61"/>
      <c r="E70" s="45">
        <v>0.045</v>
      </c>
      <c r="F70" s="45">
        <v>0.045</v>
      </c>
      <c r="G70" s="66">
        <v>46082</v>
      </c>
      <c r="H70" s="45" t="str">
        <f>IF(ISNUMBER(E70),F70-E70,"N/A")</f>
        <v>N/A</v>
      </c>
      <c r="I70" s="46" t="str">
        <f>IF(E70&lt;&gt;"",IF(F70=E70,"No Change",IF(F70&gt;E70,"Increase","Decrease")),"New")</f>
        <v>Increase</v>
      </c>
      <c r="J70" s="58"/>
      <c r="K70" s="59" t="str">
        <f>IF(LEN(J70)&gt;0,IF(OR(ISLOGICAL(J70),J70="TRUE"),"Yes",""),"")</f>
      </c>
      <c r="L70" s="59"/>
      <c r="M70" s="59"/>
      <c r="N70" s="62" t="str">
        <f>IF(LEN(M70)&gt;0,IF(OR(ISLOGICAL(M70),M70="TRUE"),"Yes",""),"")</f>
      </c>
      <c r="O70" s="59"/>
      <c r="P70" s="62" t="str">
        <f>IF(LEN(O70)&gt;0,IF(OR(ISLOGICAL(O70),O70="TRUE"),"Yes",""),"")</f>
      </c>
      <c r="Q70" s="62" t="s">
        <v>98</v>
      </c>
      <c r="R70" s="63"/>
    </row>
    <row r="71" spans="1:18" s="47" customFormat="1" ht="51">
      <c r="A71" s="63" t="s">
        <v>215</v>
      </c>
      <c r="B71" s="63" t="s">
        <v>96</v>
      </c>
      <c r="C71" s="63" t="s">
        <v>216</v>
      </c>
      <c r="D71" s="61"/>
      <c r="E71" s="45">
        <v>0.045</v>
      </c>
      <c r="F71" s="45">
        <v>0.045</v>
      </c>
      <c r="G71" s="66">
        <v>45987</v>
      </c>
      <c r="H71" s="45" t="str">
        <f>IF(ISNUMBER(E71),F71-E71,"N/A")</f>
        <v>N/A</v>
      </c>
      <c r="I71" s="46" t="str">
        <f>IF(E71&lt;&gt;"",IF(F71=E71,"No Change",IF(F71&gt;E71,"Increase","Decrease")),"New")</f>
        <v>Increase</v>
      </c>
      <c r="J71" s="58" t="s">
        <v>122</v>
      </c>
      <c r="K71" s="59" t="str">
        <f>IF(LEN(J71)&gt;0,IF(OR(ISLOGICAL(J71),J71="TRUE"),"Yes",""),"")</f>
      </c>
      <c r="L71" s="59"/>
      <c r="M71" s="59"/>
      <c r="N71" s="62" t="str">
        <f>IF(LEN(M71)&gt;0,IF(OR(ISLOGICAL(M71),M71="TRUE"),"Yes",""),"")</f>
      </c>
      <c r="O71" s="59"/>
      <c r="P71" s="62" t="str">
        <f>IF(LEN(O71)&gt;0,IF(OR(ISLOGICAL(O71),O71="TRUE"),"Yes",""),"")</f>
      </c>
      <c r="Q71" s="62" t="s">
        <v>98</v>
      </c>
      <c r="R71" s="63"/>
    </row>
    <row r="72" spans="1:18" s="47" customFormat="1" ht="51">
      <c r="A72" s="63" t="s">
        <v>217</v>
      </c>
      <c r="B72" s="63" t="s">
        <v>96</v>
      </c>
      <c r="C72" s="63" t="s">
        <v>218</v>
      </c>
      <c r="D72" s="61"/>
      <c r="E72" s="45">
        <v>0.045</v>
      </c>
      <c r="F72" s="45">
        <v>0.045</v>
      </c>
      <c r="G72" s="66">
        <v>45987</v>
      </c>
      <c r="H72" s="45" t="str">
        <f>IF(ISNUMBER(E72),F72-E72,"N/A")</f>
        <v>N/A</v>
      </c>
      <c r="I72" s="46" t="str">
        <f>IF(E72&lt;&gt;"",IF(F72=E72,"No Change",IF(F72&gt;E72,"Increase","Decrease")),"New")</f>
        <v>Increase</v>
      </c>
      <c r="J72" s="58"/>
      <c r="K72" s="59" t="str">
        <f>IF(LEN(J72)&gt;0,IF(OR(ISLOGICAL(J72),J72="TRUE"),"Yes",""),"")</f>
      </c>
      <c r="L72" s="59"/>
      <c r="M72" s="59"/>
      <c r="N72" s="62" t="str">
        <f>IF(LEN(M72)&gt;0,IF(OR(ISLOGICAL(M72),M72="TRUE"),"Yes",""),"")</f>
      </c>
      <c r="O72" s="59"/>
      <c r="P72" s="62" t="str">
        <f>IF(LEN(O72)&gt;0,IF(OR(ISLOGICAL(O72),O72="TRUE"),"Yes",""),"")</f>
      </c>
      <c r="Q72" s="62" t="s">
        <v>98</v>
      </c>
      <c r="R72" s="63"/>
    </row>
    <row r="73" spans="1:18" s="47" customFormat="1" ht="51">
      <c r="A73" s="63" t="s">
        <v>219</v>
      </c>
      <c r="B73" s="63" t="s">
        <v>96</v>
      </c>
      <c r="C73" s="63" t="s">
        <v>220</v>
      </c>
      <c r="D73" s="61"/>
      <c r="E73" s="45">
        <v>0.045</v>
      </c>
      <c r="F73" s="45">
        <v>0.045</v>
      </c>
      <c r="G73" s="66">
        <v>45924</v>
      </c>
      <c r="H73" s="45" t="str">
        <f>IF(ISNUMBER(E73),F73-E73,"N/A")</f>
        <v>N/A</v>
      </c>
      <c r="I73" s="46" t="str">
        <f>IF(E73&lt;&gt;"",IF(F73=E73,"No Change",IF(F73&gt;E73,"Increase","Decrease")),"New")</f>
        <v>Increase</v>
      </c>
      <c r="J73" s="58" t="s">
        <v>122</v>
      </c>
      <c r="K73" s="59" t="str">
        <f>IF(LEN(J73)&gt;0,IF(OR(ISLOGICAL(J73),J73="TRUE"),"Yes",""),"")</f>
      </c>
      <c r="L73" s="59"/>
      <c r="M73" s="59"/>
      <c r="N73" s="62" t="str">
        <f>IF(LEN(M73)&gt;0,IF(OR(ISLOGICAL(M73),M73="TRUE"),"Yes",""),"")</f>
      </c>
      <c r="O73" s="59"/>
      <c r="P73" s="62" t="str">
        <f>IF(LEN(O73)&gt;0,IF(OR(ISLOGICAL(O73),O73="TRUE"),"Yes",""),"")</f>
      </c>
      <c r="Q73" s="62" t="s">
        <v>98</v>
      </c>
      <c r="R73" s="63"/>
    </row>
    <row r="74" spans="1:18" s="47" customFormat="1" ht="51">
      <c r="A74" s="63" t="s">
        <v>221</v>
      </c>
      <c r="B74" s="63" t="s">
        <v>96</v>
      </c>
      <c r="C74" s="63" t="s">
        <v>222</v>
      </c>
      <c r="D74" s="61"/>
      <c r="E74" s="45">
        <v>0.045</v>
      </c>
      <c r="F74" s="45">
        <v>0.045</v>
      </c>
      <c r="G74" s="66">
        <v>43617</v>
      </c>
      <c r="H74" s="45" t="str">
        <f>IF(ISNUMBER(E74),F74-E74,"N/A")</f>
        <v>N/A</v>
      </c>
      <c r="I74" s="46" t="str">
        <f>IF(E74&lt;&gt;"",IF(F74=E74,"No Change",IF(F74&gt;E74,"Increase","Decrease")),"New")</f>
        <v>Increase</v>
      </c>
      <c r="J74" s="58" t="s">
        <v>122</v>
      </c>
      <c r="K74" s="59" t="str">
        <f>IF(LEN(J74)&gt;0,IF(OR(ISLOGICAL(J74),J74="TRUE"),"Yes",""),"")</f>
      </c>
      <c r="L74" s="59"/>
      <c r="M74" s="59"/>
      <c r="N74" s="62" t="str">
        <f>IF(LEN(M74)&gt;0,IF(OR(ISLOGICAL(M74),M74="TRUE"),"Yes",""),"")</f>
      </c>
      <c r="O74" s="59"/>
      <c r="P74" s="62" t="str">
        <f>IF(LEN(O74)&gt;0,IF(OR(ISLOGICAL(O74),O74="TRUE"),"Yes",""),"")</f>
      </c>
      <c r="Q74" s="62" t="s">
        <v>98</v>
      </c>
      <c r="R74" s="63"/>
    </row>
    <row r="75" spans="1:18" s="47" customFormat="1" ht="51">
      <c r="A75" s="63" t="s">
        <v>223</v>
      </c>
      <c r="B75" s="63" t="s">
        <v>96</v>
      </c>
      <c r="C75" s="63" t="s">
        <v>224</v>
      </c>
      <c r="D75" s="61"/>
      <c r="E75" s="45">
        <v>0.0185</v>
      </c>
      <c r="F75" s="45">
        <v>0.0185</v>
      </c>
      <c r="G75" s="66">
        <v>41416</v>
      </c>
      <c r="H75" s="45" t="str">
        <f>IF(ISNUMBER(E75),F75-E75,"N/A")</f>
        <v>N/A</v>
      </c>
      <c r="I75" s="46" t="str">
        <f>IF(E75&lt;&gt;"",IF(F75=E75,"No Change",IF(F75&gt;E75,"Increase","Decrease")),"New")</f>
        <v>Increase</v>
      </c>
      <c r="J75" s="58"/>
      <c r="K75" s="59" t="str">
        <f>IF(LEN(J75)&gt;0,IF(OR(ISLOGICAL(J75),J75="TRUE"),"Yes",""),"")</f>
      </c>
      <c r="L75" s="59"/>
      <c r="M75" s="59"/>
      <c r="N75" s="62" t="str">
        <f>IF(LEN(M75)&gt;0,IF(OR(ISLOGICAL(M75),M75="TRUE"),"Yes",""),"")</f>
      </c>
      <c r="O75" s="59"/>
      <c r="P75" s="62" t="str">
        <f>IF(LEN(O75)&gt;0,IF(OR(ISLOGICAL(O75),O75="TRUE"),"Yes",""),"")</f>
      </c>
      <c r="Q75" s="62" t="s">
        <v>98</v>
      </c>
      <c r="R75" s="63"/>
    </row>
    <row r="76" spans="1:18" s="47" customFormat="1" ht="51">
      <c r="A76" s="63" t="s">
        <v>225</v>
      </c>
      <c r="B76" s="63" t="s">
        <v>96</v>
      </c>
      <c r="C76" s="63" t="s">
        <v>226</v>
      </c>
      <c r="D76" s="61"/>
      <c r="E76" s="45">
        <v>1.85</v>
      </c>
      <c r="F76" s="45">
        <v>1.85</v>
      </c>
      <c r="G76" s="66">
        <v>44621</v>
      </c>
      <c r="H76" s="45" t="str">
        <f>IF(ISNUMBER(E76),F76-E76,"N/A")</f>
        <v>N/A</v>
      </c>
      <c r="I76" s="46" t="str">
        <f>IF(E76&lt;&gt;"",IF(F76=E76,"No Change",IF(F76&gt;E76,"Increase","Decrease")),"New")</f>
        <v>Increase</v>
      </c>
      <c r="J76" s="58"/>
      <c r="K76" s="59" t="str">
        <f>IF(LEN(J76)&gt;0,IF(OR(ISLOGICAL(J76),J76="TRUE"),"Yes",""),"")</f>
      </c>
      <c r="L76" s="59"/>
      <c r="M76" s="59"/>
      <c r="N76" s="62" t="str">
        <f>IF(LEN(M76)&gt;0,IF(OR(ISLOGICAL(M76),M76="TRUE"),"Yes",""),"")</f>
      </c>
      <c r="O76" s="59"/>
      <c r="P76" s="62" t="str">
        <f>IF(LEN(O76)&gt;0,IF(OR(ISLOGICAL(O76),O76="TRUE"),"Yes",""),"")</f>
      </c>
      <c r="Q76" s="62" t="s">
        <v>98</v>
      </c>
      <c r="R76" s="63"/>
    </row>
    <row r="77" spans="1:18" s="47" customFormat="1" ht="51">
      <c r="A77" s="63" t="s">
        <v>227</v>
      </c>
      <c r="B77" s="63" t="s">
        <v>96</v>
      </c>
      <c r="C77" s="63" t="s">
        <v>228</v>
      </c>
      <c r="D77" s="61"/>
      <c r="E77" s="45">
        <v>1.7</v>
      </c>
      <c r="F77" s="45">
        <v>1.7</v>
      </c>
      <c r="G77" s="66">
        <v>44621</v>
      </c>
      <c r="H77" s="45" t="str">
        <f>IF(ISNUMBER(E77),F77-E77,"N/A")</f>
        <v>N/A</v>
      </c>
      <c r="I77" s="46" t="str">
        <f>IF(E77&lt;&gt;"",IF(F77=E77,"No Change",IF(F77&gt;E77,"Increase","Decrease")),"New")</f>
        <v>Increase</v>
      </c>
      <c r="J77" s="58"/>
      <c r="K77" s="59" t="str">
        <f>IF(LEN(J77)&gt;0,IF(OR(ISLOGICAL(J77),J77="TRUE"),"Yes",""),"")</f>
      </c>
      <c r="L77" s="59"/>
      <c r="M77" s="59"/>
      <c r="N77" s="62" t="str">
        <f>IF(LEN(M77)&gt;0,IF(OR(ISLOGICAL(M77),M77="TRUE"),"Yes",""),"")</f>
      </c>
      <c r="O77" s="59"/>
      <c r="P77" s="62" t="str">
        <f>IF(LEN(O77)&gt;0,IF(OR(ISLOGICAL(O77),O77="TRUE"),"Yes",""),"")</f>
      </c>
      <c r="Q77" s="62" t="s">
        <v>98</v>
      </c>
      <c r="R77" s="63"/>
    </row>
    <row r="78" spans="1:18" s="47" customFormat="1" ht="51">
      <c r="A78" s="63" t="s">
        <v>229</v>
      </c>
      <c r="B78" s="63" t="s">
        <v>96</v>
      </c>
      <c r="C78" s="63" t="s">
        <v>230</v>
      </c>
      <c r="D78" s="61"/>
      <c r="E78" s="45">
        <v>0.1046</v>
      </c>
      <c r="F78" s="45">
        <v>0.1046</v>
      </c>
      <c r="G78" s="66">
        <v>46078</v>
      </c>
      <c r="H78" s="45" t="str">
        <f>IF(ISNUMBER(E78),F78-E78,"N/A")</f>
        <v>N/A</v>
      </c>
      <c r="I78" s="46" t="str">
        <f>IF(E78&lt;&gt;"",IF(F78=E78,"No Change",IF(F78&gt;E78,"Increase","Decrease")),"New")</f>
        <v>Increase</v>
      </c>
      <c r="J78" s="58"/>
      <c r="K78" s="59" t="str">
        <f>IF(LEN(J78)&gt;0,IF(OR(ISLOGICAL(J78),J78="TRUE"),"Yes",""),"")</f>
      </c>
      <c r="L78" s="59"/>
      <c r="M78" s="59"/>
      <c r="N78" s="62" t="str">
        <f>IF(LEN(M78)&gt;0,IF(OR(ISLOGICAL(M78),M78="TRUE"),"Yes",""),"")</f>
      </c>
      <c r="O78" s="59"/>
      <c r="P78" s="62" t="str">
        <f>IF(LEN(O78)&gt;0,IF(OR(ISLOGICAL(O78),O78="TRUE"),"Yes",""),"")</f>
      </c>
      <c r="Q78" s="62" t="s">
        <v>98</v>
      </c>
      <c r="R78" s="63"/>
    </row>
    <row r="79" spans="1:18" s="47" customFormat="1" ht="51">
      <c r="A79" s="63" t="s">
        <v>231</v>
      </c>
      <c r="B79" s="63" t="s">
        <v>96</v>
      </c>
      <c r="C79" s="63" t="s">
        <v>232</v>
      </c>
      <c r="D79" s="61"/>
      <c r="E79" s="45">
        <v>0.2065</v>
      </c>
      <c r="F79" s="45">
        <v>0.2065</v>
      </c>
      <c r="G79" s="66">
        <v>46082</v>
      </c>
      <c r="H79" s="45" t="str">
        <f>IF(ISNUMBER(E79),F79-E79,"N/A")</f>
        <v>N/A</v>
      </c>
      <c r="I79" s="46" t="str">
        <f>IF(E79&lt;&gt;"",IF(F79=E79,"No Change",IF(F79&gt;E79,"Increase","Decrease")),"New")</f>
        <v>Increase</v>
      </c>
      <c r="J79" s="58"/>
      <c r="K79" s="59" t="str">
        <f>IF(LEN(J79)&gt;0,IF(OR(ISLOGICAL(J79),J79="TRUE"),"Yes",""),"")</f>
      </c>
      <c r="L79" s="59"/>
      <c r="M79" s="59"/>
      <c r="N79" s="62" t="str">
        <f>IF(LEN(M79)&gt;0,IF(OR(ISLOGICAL(M79),M79="TRUE"),"Yes",""),"")</f>
      </c>
      <c r="O79" s="59"/>
      <c r="P79" s="62" t="str">
        <f>IF(LEN(O79)&gt;0,IF(OR(ISLOGICAL(O79),O79="TRUE"),"Yes",""),"")</f>
      </c>
      <c r="Q79" s="62" t="s">
        <v>98</v>
      </c>
      <c r="R79" s="63"/>
    </row>
    <row r="80" spans="1:18" s="47" customFormat="1" ht="51">
      <c r="A80" s="63" t="s">
        <v>233</v>
      </c>
      <c r="B80" s="63" t="s">
        <v>96</v>
      </c>
      <c r="C80" s="63" t="s">
        <v>234</v>
      </c>
      <c r="D80" s="61"/>
      <c r="E80" s="45">
        <v>0.2065</v>
      </c>
      <c r="F80" s="45">
        <v>0.2065</v>
      </c>
      <c r="G80" s="66">
        <v>46082</v>
      </c>
      <c r="H80" s="45" t="str">
        <f>IF(ISNUMBER(E80),F80-E80,"N/A")</f>
        <v>N/A</v>
      </c>
      <c r="I80" s="46" t="str">
        <f>IF(E80&lt;&gt;"",IF(F80=E80,"No Change",IF(F80&gt;E80,"Increase","Decrease")),"New")</f>
        <v>Increase</v>
      </c>
      <c r="J80" s="58"/>
      <c r="K80" s="59" t="str">
        <f>IF(LEN(J80)&gt;0,IF(OR(ISLOGICAL(J80),J80="TRUE"),"Yes",""),"")</f>
      </c>
      <c r="L80" s="59"/>
      <c r="M80" s="59"/>
      <c r="N80" s="62" t="str">
        <f>IF(LEN(M80)&gt;0,IF(OR(ISLOGICAL(M80),M80="TRUE"),"Yes",""),"")</f>
      </c>
      <c r="O80" s="59"/>
      <c r="P80" s="62" t="str">
        <f>IF(LEN(O80)&gt;0,IF(OR(ISLOGICAL(O80),O80="TRUE"),"Yes",""),"")</f>
      </c>
      <c r="Q80" s="62" t="s">
        <v>98</v>
      </c>
      <c r="R80" s="63"/>
    </row>
    <row r="81" spans="1:18" s="47" customFormat="1" ht="51">
      <c r="A81" s="63" t="s">
        <v>235</v>
      </c>
      <c r="B81" s="63" t="s">
        <v>96</v>
      </c>
      <c r="C81" s="63" t="s">
        <v>236</v>
      </c>
      <c r="D81" s="61"/>
      <c r="E81" s="45">
        <v>0.2065</v>
      </c>
      <c r="F81" s="45">
        <v>0.2065</v>
      </c>
      <c r="G81" s="66">
        <v>46092</v>
      </c>
      <c r="H81" s="45" t="str">
        <f>IF(ISNUMBER(E81),F81-E81,"N/A")</f>
        <v>N/A</v>
      </c>
      <c r="I81" s="46" t="str">
        <f>IF(E81&lt;&gt;"",IF(F81=E81,"No Change",IF(F81&gt;E81,"Increase","Decrease")),"New")</f>
        <v>Increase</v>
      </c>
      <c r="J81" s="58"/>
      <c r="K81" s="59" t="str">
        <f>IF(LEN(J81)&gt;0,IF(OR(ISLOGICAL(J81),J81="TRUE"),"Yes",""),"")</f>
      </c>
      <c r="L81" s="59"/>
      <c r="M81" s="59"/>
      <c r="N81" s="62" t="str">
        <f>IF(LEN(M81)&gt;0,IF(OR(ISLOGICAL(M81),M81="TRUE"),"Yes",""),"")</f>
      </c>
      <c r="O81" s="59"/>
      <c r="P81" s="62" t="str">
        <f>IF(LEN(O81)&gt;0,IF(OR(ISLOGICAL(O81),O81="TRUE"),"Yes",""),"")</f>
      </c>
      <c r="Q81" s="62" t="s">
        <v>98</v>
      </c>
      <c r="R81" s="63"/>
    </row>
    <row r="82" spans="1:18" s="47" customFormat="1" ht="51">
      <c r="A82" s="63" t="s">
        <v>237</v>
      </c>
      <c r="B82" s="63" t="s">
        <v>96</v>
      </c>
      <c r="C82" s="63" t="s">
        <v>238</v>
      </c>
      <c r="D82" s="61"/>
      <c r="E82" s="45">
        <v>0.2065</v>
      </c>
      <c r="F82" s="45">
        <v>0.2065</v>
      </c>
      <c r="G82" s="66">
        <v>46082</v>
      </c>
      <c r="H82" s="45" t="str">
        <f>IF(ISNUMBER(E82),F82-E82,"N/A")</f>
        <v>N/A</v>
      </c>
      <c r="I82" s="46" t="str">
        <f>IF(E82&lt;&gt;"",IF(F82=E82,"No Change",IF(F82&gt;E82,"Increase","Decrease")),"New")</f>
        <v>Increase</v>
      </c>
      <c r="J82" s="58"/>
      <c r="K82" s="59" t="str">
        <f>IF(LEN(J82)&gt;0,IF(OR(ISLOGICAL(J82),J82="TRUE"),"Yes",""),"")</f>
      </c>
      <c r="L82" s="59"/>
      <c r="M82" s="59"/>
      <c r="N82" s="62" t="str">
        <f>IF(LEN(M82)&gt;0,IF(OR(ISLOGICAL(M82),M82="TRUE"),"Yes",""),"")</f>
      </c>
      <c r="O82" s="59"/>
      <c r="P82" s="62" t="str">
        <f>IF(LEN(O82)&gt;0,IF(OR(ISLOGICAL(O82),O82="TRUE"),"Yes",""),"")</f>
      </c>
      <c r="Q82" s="62" t="s">
        <v>98</v>
      </c>
      <c r="R82" s="63"/>
    </row>
    <row r="83" spans="1:18" s="47" customFormat="1" ht="51">
      <c r="A83" s="63" t="s">
        <v>239</v>
      </c>
      <c r="B83" s="63" t="s">
        <v>96</v>
      </c>
      <c r="C83" s="63" t="s">
        <v>240</v>
      </c>
      <c r="D83" s="61"/>
      <c r="E83" s="45">
        <v>0.2065</v>
      </c>
      <c r="F83" s="45">
        <v>0.2065</v>
      </c>
      <c r="G83" s="66">
        <v>46082</v>
      </c>
      <c r="H83" s="45" t="str">
        <f>IF(ISNUMBER(E83),F83-E83,"N/A")</f>
        <v>N/A</v>
      </c>
      <c r="I83" s="46" t="str">
        <f>IF(E83&lt;&gt;"",IF(F83=E83,"No Change",IF(F83&gt;E83,"Increase","Decrease")),"New")</f>
        <v>Increase</v>
      </c>
      <c r="J83" s="58"/>
      <c r="K83" s="59" t="str">
        <f>IF(LEN(J83)&gt;0,IF(OR(ISLOGICAL(J83),J83="TRUE"),"Yes",""),"")</f>
      </c>
      <c r="L83" s="59"/>
      <c r="M83" s="59"/>
      <c r="N83" s="62" t="str">
        <f>IF(LEN(M83)&gt;0,IF(OR(ISLOGICAL(M83),M83="TRUE"),"Yes",""),"")</f>
      </c>
      <c r="O83" s="59"/>
      <c r="P83" s="62" t="str">
        <f>IF(LEN(O83)&gt;0,IF(OR(ISLOGICAL(O83),O83="TRUE"),"Yes",""),"")</f>
      </c>
      <c r="Q83" s="62" t="s">
        <v>98</v>
      </c>
      <c r="R83" s="63"/>
    </row>
    <row r="84" spans="1:18" s="47" customFormat="1" ht="51">
      <c r="A84" s="63" t="s">
        <v>241</v>
      </c>
      <c r="B84" s="63" t="s">
        <v>96</v>
      </c>
      <c r="C84" s="63" t="s">
        <v>242</v>
      </c>
      <c r="D84" s="61"/>
      <c r="E84" s="45">
        <v>0.1635</v>
      </c>
      <c r="F84" s="45">
        <v>0.1635</v>
      </c>
      <c r="G84" s="66">
        <v>46078</v>
      </c>
      <c r="H84" s="45" t="str">
        <f>IF(ISNUMBER(E84),F84-E84,"N/A")</f>
        <v>N/A</v>
      </c>
      <c r="I84" s="46" t="str">
        <f>IF(E84&lt;&gt;"",IF(F84=E84,"No Change",IF(F84&gt;E84,"Increase","Decrease")),"New")</f>
        <v>Increase</v>
      </c>
      <c r="J84" s="58"/>
      <c r="K84" s="59" t="str">
        <f>IF(LEN(J84)&gt;0,IF(OR(ISLOGICAL(J84),J84="TRUE"),"Yes",""),"")</f>
      </c>
      <c r="L84" s="59"/>
      <c r="M84" s="59"/>
      <c r="N84" s="62" t="str">
        <f>IF(LEN(M84)&gt;0,IF(OR(ISLOGICAL(M84),M84="TRUE"),"Yes",""),"")</f>
      </c>
      <c r="O84" s="59"/>
      <c r="P84" s="62" t="str">
        <f>IF(LEN(O84)&gt;0,IF(OR(ISLOGICAL(O84),O84="TRUE"),"Yes",""),"")</f>
      </c>
      <c r="Q84" s="62" t="s">
        <v>109</v>
      </c>
      <c r="R84" s="63"/>
    </row>
    <row r="85" spans="1:18" s="47" customFormat="1" ht="51">
      <c r="A85" s="63" t="s">
        <v>243</v>
      </c>
      <c r="B85" s="63" t="s">
        <v>96</v>
      </c>
      <c r="C85" s="63" t="s">
        <v>244</v>
      </c>
      <c r="D85" s="61"/>
      <c r="E85" s="45">
        <v>0.235</v>
      </c>
      <c r="F85" s="45">
        <v>0.235</v>
      </c>
      <c r="G85" s="66">
        <v>46078</v>
      </c>
      <c r="H85" s="45" t="str">
        <f>IF(ISNUMBER(E85),F85-E85,"N/A")</f>
        <v>N/A</v>
      </c>
      <c r="I85" s="46" t="str">
        <f>IF(E85&lt;&gt;"",IF(F85=E85,"No Change",IF(F85&gt;E85,"Increase","Decrease")),"New")</f>
        <v>Increase</v>
      </c>
      <c r="J85" s="58" t="s">
        <v>122</v>
      </c>
      <c r="K85" s="59" t="str">
        <f>IF(LEN(J85)&gt;0,IF(OR(ISLOGICAL(J85),J85="TRUE"),"Yes",""),"")</f>
      </c>
      <c r="L85" s="59"/>
      <c r="M85" s="59"/>
      <c r="N85" s="62" t="str">
        <f>IF(LEN(M85)&gt;0,IF(OR(ISLOGICAL(M85),M85="TRUE"),"Yes",""),"")</f>
      </c>
      <c r="O85" s="59"/>
      <c r="P85" s="62" t="str">
        <f>IF(LEN(O85)&gt;0,IF(OR(ISLOGICAL(O85),O85="TRUE"),"Yes",""),"")</f>
      </c>
      <c r="Q85" s="62" t="s">
        <v>109</v>
      </c>
      <c r="R85" s="63"/>
    </row>
    <row r="86" spans="1:18" s="47" customFormat="1" ht="51">
      <c r="A86" s="63" t="s">
        <v>245</v>
      </c>
      <c r="B86" s="63" t="s">
        <v>96</v>
      </c>
      <c r="C86" s="63" t="s">
        <v>246</v>
      </c>
      <c r="D86" s="61"/>
      <c r="E86" s="45">
        <v>0.235</v>
      </c>
      <c r="F86" s="45">
        <v>0.235</v>
      </c>
      <c r="G86" s="66">
        <v>46082</v>
      </c>
      <c r="H86" s="45" t="str">
        <f>IF(ISNUMBER(E86),F86-E86,"N/A")</f>
        <v>N/A</v>
      </c>
      <c r="I86" s="46" t="str">
        <f>IF(E86&lt;&gt;"",IF(F86=E86,"No Change",IF(F86&gt;E86,"Increase","Decrease")),"New")</f>
        <v>Increase</v>
      </c>
      <c r="J86" s="58"/>
      <c r="K86" s="59" t="str">
        <f>IF(LEN(J86)&gt;0,IF(OR(ISLOGICAL(J86),J86="TRUE"),"Yes",""),"")</f>
      </c>
      <c r="L86" s="59"/>
      <c r="M86" s="59"/>
      <c r="N86" s="62" t="str">
        <f>IF(LEN(M86)&gt;0,IF(OR(ISLOGICAL(M86),M86="TRUE"),"Yes",""),"")</f>
      </c>
      <c r="O86" s="59"/>
      <c r="P86" s="62" t="str">
        <f>IF(LEN(O86)&gt;0,IF(OR(ISLOGICAL(O86),O86="TRUE"),"Yes",""),"")</f>
      </c>
      <c r="Q86" s="62" t="s">
        <v>109</v>
      </c>
      <c r="R86" s="63"/>
    </row>
    <row r="87" spans="1:18" s="47" customFormat="1" ht="51">
      <c r="A87" s="63" t="s">
        <v>247</v>
      </c>
      <c r="B87" s="63" t="s">
        <v>96</v>
      </c>
      <c r="C87" s="63" t="s">
        <v>248</v>
      </c>
      <c r="D87" s="61"/>
      <c r="E87" s="45">
        <v>0.235</v>
      </c>
      <c r="F87" s="45">
        <v>0.235</v>
      </c>
      <c r="G87" s="66">
        <v>46082</v>
      </c>
      <c r="H87" s="45" t="str">
        <f>IF(ISNUMBER(E87),F87-E87,"N/A")</f>
        <v>N/A</v>
      </c>
      <c r="I87" s="46" t="str">
        <f>IF(E87&lt;&gt;"",IF(F87=E87,"No Change",IF(F87&gt;E87,"Increase","Decrease")),"New")</f>
        <v>Increase</v>
      </c>
      <c r="J87" s="58"/>
      <c r="K87" s="59" t="str">
        <f>IF(LEN(J87)&gt;0,IF(OR(ISLOGICAL(J87),J87="TRUE"),"Yes",""),"")</f>
      </c>
      <c r="L87" s="59"/>
      <c r="M87" s="59"/>
      <c r="N87" s="62" t="str">
        <f>IF(LEN(M87)&gt;0,IF(OR(ISLOGICAL(M87),M87="TRUE"),"Yes",""),"")</f>
      </c>
      <c r="O87" s="59"/>
      <c r="P87" s="62" t="str">
        <f>IF(LEN(O87)&gt;0,IF(OR(ISLOGICAL(O87),O87="TRUE"),"Yes",""),"")</f>
      </c>
      <c r="Q87" s="62" t="s">
        <v>109</v>
      </c>
      <c r="R87" s="63"/>
    </row>
    <row r="88" spans="1:18" s="47" customFormat="1" ht="51">
      <c r="A88" s="63" t="s">
        <v>249</v>
      </c>
      <c r="B88" s="63" t="s">
        <v>96</v>
      </c>
      <c r="C88" s="63" t="s">
        <v>250</v>
      </c>
      <c r="D88" s="61"/>
      <c r="E88" s="45">
        <v>0.235</v>
      </c>
      <c r="F88" s="45">
        <v>0.235</v>
      </c>
      <c r="G88" s="66">
        <v>46085</v>
      </c>
      <c r="H88" s="45" t="str">
        <f>IF(ISNUMBER(E88),F88-E88,"N/A")</f>
        <v>N/A</v>
      </c>
      <c r="I88" s="46" t="str">
        <f>IF(E88&lt;&gt;"",IF(F88=E88,"No Change",IF(F88&gt;E88,"Increase","Decrease")),"New")</f>
        <v>Increase</v>
      </c>
      <c r="J88" s="58" t="s">
        <v>122</v>
      </c>
      <c r="K88" s="59" t="str">
        <f>IF(LEN(J88)&gt;0,IF(OR(ISLOGICAL(J88),J88="TRUE"),"Yes",""),"")</f>
      </c>
      <c r="L88" s="59"/>
      <c r="M88" s="59"/>
      <c r="N88" s="62" t="str">
        <f>IF(LEN(M88)&gt;0,IF(OR(ISLOGICAL(M88),M88="TRUE"),"Yes",""),"")</f>
      </c>
      <c r="O88" s="59"/>
      <c r="P88" s="62" t="str">
        <f>IF(LEN(O88)&gt;0,IF(OR(ISLOGICAL(O88),O88="TRUE"),"Yes",""),"")</f>
      </c>
      <c r="Q88" s="62" t="s">
        <v>109</v>
      </c>
      <c r="R88" s="63"/>
    </row>
    <row r="89" spans="1:18" s="47" customFormat="1" ht="51">
      <c r="A89" s="63" t="s">
        <v>251</v>
      </c>
      <c r="B89" s="63" t="s">
        <v>96</v>
      </c>
      <c r="C89" s="63" t="s">
        <v>252</v>
      </c>
      <c r="D89" s="61"/>
      <c r="E89" s="45">
        <v>0.1965</v>
      </c>
      <c r="F89" s="45">
        <v>0.1965</v>
      </c>
      <c r="G89" s="66">
        <v>46092</v>
      </c>
      <c r="H89" s="45" t="str">
        <f>IF(ISNUMBER(E89),F89-E89,"N/A")</f>
        <v>N/A</v>
      </c>
      <c r="I89" s="46" t="str">
        <f>IF(E89&lt;&gt;"",IF(F89=E89,"No Change",IF(F89&gt;E89,"Increase","Decrease")),"New")</f>
        <v>Increase</v>
      </c>
      <c r="J89" s="58"/>
      <c r="K89" s="59" t="str">
        <f>IF(LEN(J89)&gt;0,IF(OR(ISLOGICAL(J89),J89="TRUE"),"Yes",""),"")</f>
      </c>
      <c r="L89" s="59"/>
      <c r="M89" s="59"/>
      <c r="N89" s="62" t="str">
        <f>IF(LEN(M89)&gt;0,IF(OR(ISLOGICAL(M89),M89="TRUE"),"Yes",""),"")</f>
      </c>
      <c r="O89" s="59"/>
      <c r="P89" s="62" t="str">
        <f>IF(LEN(O89)&gt;0,IF(OR(ISLOGICAL(O89),O89="TRUE"),"Yes",""),"")</f>
      </c>
      <c r="Q89" s="62" t="s">
        <v>98</v>
      </c>
      <c r="R89" s="63"/>
    </row>
    <row r="90" spans="1:18" s="47" customFormat="1" ht="51">
      <c r="A90" s="63" t="s">
        <v>253</v>
      </c>
      <c r="B90" s="63" t="s">
        <v>96</v>
      </c>
      <c r="C90" s="63" t="s">
        <v>254</v>
      </c>
      <c r="D90" s="61"/>
      <c r="E90" s="45">
        <v>0.1965</v>
      </c>
      <c r="F90" s="45">
        <v>0.1965</v>
      </c>
      <c r="G90" s="66">
        <v>46082</v>
      </c>
      <c r="H90" s="45" t="str">
        <f>IF(ISNUMBER(E90),F90-E90,"N/A")</f>
        <v>N/A</v>
      </c>
      <c r="I90" s="46" t="str">
        <f>IF(E90&lt;&gt;"",IF(F90=E90,"No Change",IF(F90&gt;E90,"Increase","Decrease")),"New")</f>
        <v>Increase</v>
      </c>
      <c r="J90" s="58"/>
      <c r="K90" s="59" t="str">
        <f>IF(LEN(J90)&gt;0,IF(OR(ISLOGICAL(J90),J90="TRUE"),"Yes",""),"")</f>
      </c>
      <c r="L90" s="59"/>
      <c r="M90" s="59"/>
      <c r="N90" s="62" t="str">
        <f>IF(LEN(M90)&gt;0,IF(OR(ISLOGICAL(M90),M90="TRUE"),"Yes",""),"")</f>
      </c>
      <c r="O90" s="59"/>
      <c r="P90" s="62" t="str">
        <f>IF(LEN(O90)&gt;0,IF(OR(ISLOGICAL(O90),O90="TRUE"),"Yes",""),"")</f>
      </c>
      <c r="Q90" s="62" t="s">
        <v>98</v>
      </c>
      <c r="R90" s="63"/>
    </row>
    <row r="91" spans="1:18" s="47" customFormat="1" ht="51">
      <c r="A91" s="63" t="s">
        <v>255</v>
      </c>
      <c r="B91" s="63" t="s">
        <v>96</v>
      </c>
      <c r="C91" s="63" t="s">
        <v>256</v>
      </c>
      <c r="D91" s="61"/>
      <c r="E91" s="45">
        <v>0.1965</v>
      </c>
      <c r="F91" s="45">
        <v>0.1965</v>
      </c>
      <c r="G91" s="66">
        <v>46082</v>
      </c>
      <c r="H91" s="45" t="str">
        <f>IF(ISNUMBER(E91),F91-E91,"N/A")</f>
        <v>N/A</v>
      </c>
      <c r="I91" s="46" t="str">
        <f>IF(E91&lt;&gt;"",IF(F91=E91,"No Change",IF(F91&gt;E91,"Increase","Decrease")),"New")</f>
        <v>Increase</v>
      </c>
      <c r="J91" s="58"/>
      <c r="K91" s="59" t="str">
        <f>IF(LEN(J91)&gt;0,IF(OR(ISLOGICAL(J91),J91="TRUE"),"Yes",""),"")</f>
      </c>
      <c r="L91" s="59"/>
      <c r="M91" s="59"/>
      <c r="N91" s="62" t="str">
        <f>IF(LEN(M91)&gt;0,IF(OR(ISLOGICAL(M91),M91="TRUE"),"Yes",""),"")</f>
      </c>
      <c r="O91" s="59"/>
      <c r="P91" s="62" t="str">
        <f>IF(LEN(O91)&gt;0,IF(OR(ISLOGICAL(O91),O91="TRUE"),"Yes",""),"")</f>
      </c>
      <c r="Q91" s="62" t="s">
        <v>98</v>
      </c>
      <c r="R91" s="63"/>
    </row>
    <row r="92" spans="1:18" s="47" customFormat="1" ht="51">
      <c r="A92" s="63" t="s">
        <v>257</v>
      </c>
      <c r="B92" s="63" t="s">
        <v>96</v>
      </c>
      <c r="C92" s="63" t="s">
        <v>258</v>
      </c>
      <c r="D92" s="61"/>
      <c r="E92" s="45">
        <v>0.082</v>
      </c>
      <c r="F92" s="45">
        <v>0.082</v>
      </c>
      <c r="G92" s="66">
        <v>46074</v>
      </c>
      <c r="H92" s="45" t="str">
        <f>IF(ISNUMBER(E92),F92-E92,"N/A")</f>
        <v>N/A</v>
      </c>
      <c r="I92" s="46" t="str">
        <f>IF(E92&lt;&gt;"",IF(F92=E92,"No Change",IF(F92&gt;E92,"Increase","Decrease")),"New")</f>
        <v>Increase</v>
      </c>
      <c r="J92" s="58"/>
      <c r="K92" s="59" t="str">
        <f>IF(LEN(J92)&gt;0,IF(OR(ISLOGICAL(J92),J92="TRUE"),"Yes",""),"")</f>
      </c>
      <c r="L92" s="59"/>
      <c r="M92" s="59"/>
      <c r="N92" s="62" t="str">
        <f>IF(LEN(M92)&gt;0,IF(OR(ISLOGICAL(M92),M92="TRUE"),"Yes",""),"")</f>
      </c>
      <c r="O92" s="59"/>
      <c r="P92" s="62" t="str">
        <f>IF(LEN(O92)&gt;0,IF(OR(ISLOGICAL(O92),O92="TRUE"),"Yes",""),"")</f>
      </c>
      <c r="Q92" s="62" t="s">
        <v>98</v>
      </c>
      <c r="R92" s="63"/>
    </row>
    <row r="93" spans="1:18" s="47" customFormat="1" ht="51">
      <c r="A93" s="63" t="s">
        <v>259</v>
      </c>
      <c r="B93" s="63" t="s">
        <v>96</v>
      </c>
      <c r="C93" s="63" t="s">
        <v>260</v>
      </c>
      <c r="D93" s="61"/>
      <c r="E93" s="45">
        <v>0.082</v>
      </c>
      <c r="F93" s="45">
        <v>0.082</v>
      </c>
      <c r="G93" s="66">
        <v>46082</v>
      </c>
      <c r="H93" s="45" t="str">
        <f>IF(ISNUMBER(E93),F93-E93,"N/A")</f>
        <v>N/A</v>
      </c>
      <c r="I93" s="46" t="str">
        <f>IF(E93&lt;&gt;"",IF(F93=E93,"No Change",IF(F93&gt;E93,"Increase","Decrease")),"New")</f>
        <v>Increase</v>
      </c>
      <c r="J93" s="58"/>
      <c r="K93" s="59" t="str">
        <f>IF(LEN(J93)&gt;0,IF(OR(ISLOGICAL(J93),J93="TRUE"),"Yes",""),"")</f>
      </c>
      <c r="L93" s="59"/>
      <c r="M93" s="59"/>
      <c r="N93" s="62" t="str">
        <f>IF(LEN(M93)&gt;0,IF(OR(ISLOGICAL(M93),M93="TRUE"),"Yes",""),"")</f>
      </c>
      <c r="O93" s="59"/>
      <c r="P93" s="62" t="str">
        <f>IF(LEN(O93)&gt;0,IF(OR(ISLOGICAL(O93),O93="TRUE"),"Yes",""),"")</f>
      </c>
      <c r="Q93" s="62" t="s">
        <v>98</v>
      </c>
      <c r="R93" s="63"/>
    </row>
    <row r="94" spans="1:18" s="47" customFormat="1" ht="51">
      <c r="A94" s="63" t="s">
        <v>261</v>
      </c>
      <c r="B94" s="63" t="s">
        <v>96</v>
      </c>
      <c r="C94" s="63" t="s">
        <v>262</v>
      </c>
      <c r="D94" s="61"/>
      <c r="E94" s="45">
        <v>0.0968</v>
      </c>
      <c r="F94" s="45">
        <v>0.0968</v>
      </c>
      <c r="G94" s="66">
        <v>46127</v>
      </c>
      <c r="H94" s="45" t="str">
        <f>IF(ISNUMBER(E94),F94-E94,"N/A")</f>
        <v>N/A</v>
      </c>
      <c r="I94" s="46" t="str">
        <f>IF(E94&lt;&gt;"",IF(F94=E94,"No Change",IF(F94&gt;E94,"Increase","Decrease")),"New")</f>
        <v>Increase</v>
      </c>
      <c r="J94" s="58" t="s">
        <v>122</v>
      </c>
      <c r="K94" s="59" t="str">
        <f>IF(LEN(J94)&gt;0,IF(OR(ISLOGICAL(J94),J94="TRUE"),"Yes",""),"")</f>
      </c>
      <c r="L94" s="59"/>
      <c r="M94" s="59"/>
      <c r="N94" s="62" t="str">
        <f>IF(LEN(M94)&gt;0,IF(OR(ISLOGICAL(M94),M94="TRUE"),"Yes",""),"")</f>
      </c>
      <c r="O94" s="59"/>
      <c r="P94" s="62" t="str">
        <f>IF(LEN(O94)&gt;0,IF(OR(ISLOGICAL(O94),O94="TRUE"),"Yes",""),"")</f>
      </c>
      <c r="Q94" s="62" t="s">
        <v>98</v>
      </c>
      <c r="R94" s="63"/>
    </row>
    <row r="95" spans="1:18" s="47" customFormat="1" ht="51">
      <c r="A95" s="63" t="s">
        <v>263</v>
      </c>
      <c r="B95" s="63" t="s">
        <v>96</v>
      </c>
      <c r="C95" s="63" t="s">
        <v>264</v>
      </c>
      <c r="D95" s="61"/>
      <c r="E95" s="45">
        <v>0.086</v>
      </c>
      <c r="F95" s="45">
        <v>0.086</v>
      </c>
      <c r="G95" s="66">
        <v>45910</v>
      </c>
      <c r="H95" s="45" t="str">
        <f>IF(ISNUMBER(E95),F95-E95,"N/A")</f>
        <v>N/A</v>
      </c>
      <c r="I95" s="46" t="str">
        <f>IF(E95&lt;&gt;"",IF(F95=E95,"No Change",IF(F95&gt;E95,"Increase","Decrease")),"New")</f>
        <v>Increase</v>
      </c>
      <c r="J95" s="58"/>
      <c r="K95" s="59" t="str">
        <f>IF(LEN(J95)&gt;0,IF(OR(ISLOGICAL(J95),J95="TRUE"),"Yes",""),"")</f>
      </c>
      <c r="L95" s="59"/>
      <c r="M95" s="59"/>
      <c r="N95" s="62" t="str">
        <f>IF(LEN(M95)&gt;0,IF(OR(ISLOGICAL(M95),M95="TRUE"),"Yes",""),"")</f>
      </c>
      <c r="O95" s="59"/>
      <c r="P95" s="62" t="str">
        <f>IF(LEN(O95)&gt;0,IF(OR(ISLOGICAL(O95),O95="TRUE"),"Yes",""),"")</f>
      </c>
      <c r="Q95" s="62" t="s">
        <v>98</v>
      </c>
      <c r="R95" s="63"/>
    </row>
    <row r="96" spans="1:18" s="47" customFormat="1" ht="51">
      <c r="A96" s="63" t="s">
        <v>265</v>
      </c>
      <c r="B96" s="63" t="s">
        <v>96</v>
      </c>
      <c r="C96" s="63" t="s">
        <v>266</v>
      </c>
      <c r="D96" s="61"/>
      <c r="E96" s="45">
        <v>0.0968</v>
      </c>
      <c r="F96" s="45">
        <v>0.0968</v>
      </c>
      <c r="G96" s="66">
        <v>46127</v>
      </c>
      <c r="H96" s="45" t="str">
        <f>IF(ISNUMBER(E96),F96-E96,"N/A")</f>
        <v>N/A</v>
      </c>
      <c r="I96" s="46" t="str">
        <f>IF(E96&lt;&gt;"",IF(F96=E96,"No Change",IF(F96&gt;E96,"Increase","Decrease")),"New")</f>
        <v>Increase</v>
      </c>
      <c r="J96" s="58" t="s">
        <v>122</v>
      </c>
      <c r="K96" s="59" t="str">
        <f>IF(LEN(J96)&gt;0,IF(OR(ISLOGICAL(J96),J96="TRUE"),"Yes",""),"")</f>
      </c>
      <c r="L96" s="59"/>
      <c r="M96" s="59"/>
      <c r="N96" s="62" t="str">
        <f>IF(LEN(M96)&gt;0,IF(OR(ISLOGICAL(M96),M96="TRUE"),"Yes",""),"")</f>
      </c>
      <c r="O96" s="59"/>
      <c r="P96" s="62" t="str">
        <f>IF(LEN(O96)&gt;0,IF(OR(ISLOGICAL(O96),O96="TRUE"),"Yes",""),"")</f>
      </c>
      <c r="Q96" s="62" t="s">
        <v>98</v>
      </c>
      <c r="R96" s="63"/>
    </row>
    <row r="97" spans="1:18" s="47" customFormat="1" ht="51">
      <c r="A97" s="63" t="s">
        <v>267</v>
      </c>
      <c r="B97" s="63" t="s">
        <v>96</v>
      </c>
      <c r="C97" s="63" t="s">
        <v>268</v>
      </c>
      <c r="D97" s="61"/>
      <c r="E97" s="45">
        <v>0.0968</v>
      </c>
      <c r="F97" s="45">
        <v>0.0968</v>
      </c>
      <c r="G97" s="66">
        <v>46127</v>
      </c>
      <c r="H97" s="45" t="str">
        <f>IF(ISNUMBER(E97),F97-E97,"N/A")</f>
        <v>N/A</v>
      </c>
      <c r="I97" s="46" t="str">
        <f>IF(E97&lt;&gt;"",IF(F97=E97,"No Change",IF(F97&gt;E97,"Increase","Decrease")),"New")</f>
        <v>Increase</v>
      </c>
      <c r="J97" s="58" t="s">
        <v>122</v>
      </c>
      <c r="K97" s="59" t="str">
        <f>IF(LEN(J97)&gt;0,IF(OR(ISLOGICAL(J97),J97="TRUE"),"Yes",""),"")</f>
      </c>
      <c r="L97" s="59"/>
      <c r="M97" s="59"/>
      <c r="N97" s="62" t="str">
        <f>IF(LEN(M97)&gt;0,IF(OR(ISLOGICAL(M97),M97="TRUE"),"Yes",""),"")</f>
      </c>
      <c r="O97" s="59"/>
      <c r="P97" s="62" t="str">
        <f>IF(LEN(O97)&gt;0,IF(OR(ISLOGICAL(O97),O97="TRUE"),"Yes",""),"")</f>
      </c>
      <c r="Q97" s="62" t="s">
        <v>98</v>
      </c>
      <c r="R97" s="63"/>
    </row>
    <row r="98" spans="1:18" s="47" customFormat="1" ht="51">
      <c r="A98" s="63" t="s">
        <v>269</v>
      </c>
      <c r="B98" s="63" t="s">
        <v>96</v>
      </c>
      <c r="C98" s="63" t="s">
        <v>270</v>
      </c>
      <c r="D98" s="61"/>
      <c r="E98" s="45">
        <v>0.01</v>
      </c>
      <c r="F98" s="45">
        <v>0.01</v>
      </c>
      <c r="G98" s="66">
        <v>44213</v>
      </c>
      <c r="H98" s="45" t="str">
        <f>IF(ISNUMBER(E98),F98-E98,"N/A")</f>
        <v>N/A</v>
      </c>
      <c r="I98" s="46" t="str">
        <f>IF(E98&lt;&gt;"",IF(F98=E98,"No Change",IF(F98&gt;E98,"Increase","Decrease")),"New")</f>
        <v>Increase</v>
      </c>
      <c r="J98" s="58"/>
      <c r="K98" s="59" t="str">
        <f>IF(LEN(J98)&gt;0,IF(OR(ISLOGICAL(J98),J98="TRUE"),"Yes",""),"")</f>
      </c>
      <c r="L98" s="59"/>
      <c r="M98" s="59"/>
      <c r="N98" s="62" t="str">
        <f>IF(LEN(M98)&gt;0,IF(OR(ISLOGICAL(M98),M98="TRUE"),"Yes",""),"")</f>
      </c>
      <c r="O98" s="59"/>
      <c r="P98" s="62" t="str">
        <f>IF(LEN(O98)&gt;0,IF(OR(ISLOGICAL(O98),O98="TRUE"),"Yes",""),"")</f>
      </c>
      <c r="Q98" s="62" t="s">
        <v>98</v>
      </c>
      <c r="R98" s="63"/>
    </row>
    <row r="99" spans="1:18" s="47" customFormat="1" ht="51">
      <c r="A99" s="63" t="s">
        <v>271</v>
      </c>
      <c r="B99" s="63" t="s">
        <v>96</v>
      </c>
      <c r="C99" s="63" t="s">
        <v>272</v>
      </c>
      <c r="D99" s="61"/>
      <c r="E99" s="45">
        <v>0.01</v>
      </c>
      <c r="F99" s="45">
        <v>0.01</v>
      </c>
      <c r="G99" s="66">
        <v>44213</v>
      </c>
      <c r="H99" s="45" t="str">
        <f>IF(ISNUMBER(E99),F99-E99,"N/A")</f>
        <v>N/A</v>
      </c>
      <c r="I99" s="46" t="str">
        <f>IF(E99&lt;&gt;"",IF(F99=E99,"No Change",IF(F99&gt;E99,"Increase","Decrease")),"New")</f>
        <v>Increase</v>
      </c>
      <c r="J99" s="58"/>
      <c r="K99" s="59" t="str">
        <f>IF(LEN(J99)&gt;0,IF(OR(ISLOGICAL(J99),J99="TRUE"),"Yes",""),"")</f>
      </c>
      <c r="L99" s="59"/>
      <c r="M99" s="59"/>
      <c r="N99" s="62" t="str">
        <f>IF(LEN(M99)&gt;0,IF(OR(ISLOGICAL(M99),M99="TRUE"),"Yes",""),"")</f>
      </c>
      <c r="O99" s="59"/>
      <c r="P99" s="62" t="str">
        <f>IF(LEN(O99)&gt;0,IF(OR(ISLOGICAL(O99),O99="TRUE"),"Yes",""),"")</f>
      </c>
      <c r="Q99" s="62" t="s">
        <v>98</v>
      </c>
      <c r="R99" s="63"/>
    </row>
    <row r="100" spans="1:18" s="47" customFormat="1" ht="51">
      <c r="A100" s="63" t="s">
        <v>273</v>
      </c>
      <c r="B100" s="63" t="s">
        <v>96</v>
      </c>
      <c r="C100" s="63" t="s">
        <v>274</v>
      </c>
      <c r="D100" s="61"/>
      <c r="E100" s="45">
        <v>0.0096</v>
      </c>
      <c r="F100" s="45">
        <v>0.0096</v>
      </c>
      <c r="G100" s="66">
        <v>45518</v>
      </c>
      <c r="H100" s="45" t="str">
        <f>IF(ISNUMBER(E100),F100-E100,"N/A")</f>
        <v>N/A</v>
      </c>
      <c r="I100" s="46" t="str">
        <f>IF(E100&lt;&gt;"",IF(F100=E100,"No Change",IF(F100&gt;E100,"Increase","Decrease")),"New")</f>
        <v>Increase</v>
      </c>
      <c r="J100" s="58" t="s">
        <v>122</v>
      </c>
      <c r="K100" s="59" t="str">
        <f>IF(LEN(J100)&gt;0,IF(OR(ISLOGICAL(J100),J100="TRUE"),"Yes",""),"")</f>
      </c>
      <c r="L100" s="59"/>
      <c r="M100" s="59"/>
      <c r="N100" s="62" t="str">
        <f>IF(LEN(M100)&gt;0,IF(OR(ISLOGICAL(M100),M100="TRUE"),"Yes",""),"")</f>
      </c>
      <c r="O100" s="59"/>
      <c r="P100" s="62" t="str">
        <f>IF(LEN(O100)&gt;0,IF(OR(ISLOGICAL(O100),O100="TRUE"),"Yes",""),"")</f>
      </c>
      <c r="Q100" s="62" t="s">
        <v>98</v>
      </c>
      <c r="R100" s="63"/>
    </row>
    <row r="101" spans="1:18" s="47" customFormat="1" ht="51">
      <c r="A101" s="63" t="s">
        <v>275</v>
      </c>
      <c r="B101" s="63" t="s">
        <v>96</v>
      </c>
      <c r="C101" s="63" t="s">
        <v>276</v>
      </c>
      <c r="D101" s="61"/>
      <c r="E101" s="45">
        <v>0.0096</v>
      </c>
      <c r="F101" s="45">
        <v>0.0096</v>
      </c>
      <c r="G101" s="66">
        <v>45518</v>
      </c>
      <c r="H101" s="45" t="str">
        <f>IF(ISNUMBER(E101),F101-E101,"N/A")</f>
        <v>N/A</v>
      </c>
      <c r="I101" s="46" t="str">
        <f>IF(E101&lt;&gt;"",IF(F101=E101,"No Change",IF(F101&gt;E101,"Increase","Decrease")),"New")</f>
        <v>Increase</v>
      </c>
      <c r="J101" s="58" t="s">
        <v>122</v>
      </c>
      <c r="K101" s="59" t="str">
        <f>IF(LEN(J101)&gt;0,IF(OR(ISLOGICAL(J101),J101="TRUE"),"Yes",""),"")</f>
      </c>
      <c r="L101" s="59"/>
      <c r="M101" s="59"/>
      <c r="N101" s="62" t="str">
        <f>IF(LEN(M101)&gt;0,IF(OR(ISLOGICAL(M101),M101="TRUE"),"Yes",""),"")</f>
      </c>
      <c r="O101" s="59"/>
      <c r="P101" s="62" t="str">
        <f>IF(LEN(O101)&gt;0,IF(OR(ISLOGICAL(O101),O101="TRUE"),"Yes",""),"")</f>
      </c>
      <c r="Q101" s="62" t="s">
        <v>98</v>
      </c>
      <c r="R101" s="63"/>
    </row>
    <row r="102" spans="1:18" s="47" customFormat="1" ht="51">
      <c r="A102" s="63" t="s">
        <v>277</v>
      </c>
      <c r="B102" s="63" t="s">
        <v>96</v>
      </c>
      <c r="C102" s="63" t="s">
        <v>278</v>
      </c>
      <c r="D102" s="61"/>
      <c r="E102" s="45">
        <v>0.0096</v>
      </c>
      <c r="F102" s="45">
        <v>0.0096</v>
      </c>
      <c r="G102" s="66">
        <v>45518</v>
      </c>
      <c r="H102" s="45" t="str">
        <f>IF(ISNUMBER(E102),F102-E102,"N/A")</f>
        <v>N/A</v>
      </c>
      <c r="I102" s="46" t="str">
        <f>IF(E102&lt;&gt;"",IF(F102=E102,"No Change",IF(F102&gt;E102,"Increase","Decrease")),"New")</f>
        <v>Increase</v>
      </c>
      <c r="J102" s="58" t="s">
        <v>122</v>
      </c>
      <c r="K102" s="59" t="str">
        <f>IF(LEN(J102)&gt;0,IF(OR(ISLOGICAL(J102),J102="TRUE"),"Yes",""),"")</f>
      </c>
      <c r="L102" s="59"/>
      <c r="M102" s="59"/>
      <c r="N102" s="62" t="str">
        <f>IF(LEN(M102)&gt;0,IF(OR(ISLOGICAL(M102),M102="TRUE"),"Yes",""),"")</f>
      </c>
      <c r="O102" s="59"/>
      <c r="P102" s="62" t="str">
        <f>IF(LEN(O102)&gt;0,IF(OR(ISLOGICAL(O102),O102="TRUE"),"Yes",""),"")</f>
      </c>
      <c r="Q102" s="62" t="s">
        <v>98</v>
      </c>
      <c r="R102" s="63"/>
    </row>
    <row r="103" spans="1:18" s="47" customFormat="1" ht="51">
      <c r="A103" s="63" t="s">
        <v>279</v>
      </c>
      <c r="B103" s="63" t="s">
        <v>96</v>
      </c>
      <c r="C103" s="63" t="s">
        <v>280</v>
      </c>
      <c r="D103" s="61"/>
      <c r="E103" s="45">
        <v>0.0096</v>
      </c>
      <c r="F103" s="45">
        <v>0.0096</v>
      </c>
      <c r="G103" s="66">
        <v>45518</v>
      </c>
      <c r="H103" s="45" t="str">
        <f>IF(ISNUMBER(E103),F103-E103,"N/A")</f>
        <v>N/A</v>
      </c>
      <c r="I103" s="46" t="str">
        <f>IF(E103&lt;&gt;"",IF(F103=E103,"No Change",IF(F103&gt;E103,"Increase","Decrease")),"New")</f>
        <v>Increase</v>
      </c>
      <c r="J103" s="58" t="s">
        <v>122</v>
      </c>
      <c r="K103" s="59" t="str">
        <f>IF(LEN(J103)&gt;0,IF(OR(ISLOGICAL(J103),J103="TRUE"),"Yes",""),"")</f>
      </c>
      <c r="L103" s="59"/>
      <c r="M103" s="59"/>
      <c r="N103" s="62" t="str">
        <f>IF(LEN(M103)&gt;0,IF(OR(ISLOGICAL(M103),M103="TRUE"),"Yes",""),"")</f>
      </c>
      <c r="O103" s="59"/>
      <c r="P103" s="62" t="str">
        <f>IF(LEN(O103)&gt;0,IF(OR(ISLOGICAL(O103),O103="TRUE"),"Yes",""),"")</f>
      </c>
      <c r="Q103" s="62" t="s">
        <v>98</v>
      </c>
      <c r="R103" s="63"/>
    </row>
    <row r="104" spans="1:18" s="47" customFormat="1" ht="51">
      <c r="A104" s="63" t="s">
        <v>281</v>
      </c>
      <c r="B104" s="63" t="s">
        <v>96</v>
      </c>
      <c r="C104" s="63" t="s">
        <v>282</v>
      </c>
      <c r="D104" s="61"/>
      <c r="E104" s="45">
        <v>0.0096</v>
      </c>
      <c r="F104" s="45">
        <v>0.0096</v>
      </c>
      <c r="G104" s="66">
        <v>45518</v>
      </c>
      <c r="H104" s="45" t="str">
        <f>IF(ISNUMBER(E104),F104-E104,"N/A")</f>
        <v>N/A</v>
      </c>
      <c r="I104" s="46" t="str">
        <f>IF(E104&lt;&gt;"",IF(F104=E104,"No Change",IF(F104&gt;E104,"Increase","Decrease")),"New")</f>
        <v>Increase</v>
      </c>
      <c r="J104" s="58" t="s">
        <v>122</v>
      </c>
      <c r="K104" s="59" t="str">
        <f>IF(LEN(J104)&gt;0,IF(OR(ISLOGICAL(J104),J104="TRUE"),"Yes",""),"")</f>
      </c>
      <c r="L104" s="59"/>
      <c r="M104" s="59"/>
      <c r="N104" s="62" t="str">
        <f>IF(LEN(M104)&gt;0,IF(OR(ISLOGICAL(M104),M104="TRUE"),"Yes",""),"")</f>
      </c>
      <c r="O104" s="59"/>
      <c r="P104" s="62" t="str">
        <f>IF(LEN(O104)&gt;0,IF(OR(ISLOGICAL(O104),O104="TRUE"),"Yes",""),"")</f>
      </c>
      <c r="Q104" s="62" t="s">
        <v>98</v>
      </c>
      <c r="R104" s="63"/>
    </row>
    <row r="105" spans="1:18" s="47" customFormat="1" ht="51">
      <c r="A105" s="63" t="s">
        <v>283</v>
      </c>
      <c r="B105" s="63" t="s">
        <v>96</v>
      </c>
      <c r="C105" s="63" t="s">
        <v>284</v>
      </c>
      <c r="D105" s="61"/>
      <c r="E105" s="45">
        <v>0.152</v>
      </c>
      <c r="F105" s="45">
        <v>0.152</v>
      </c>
      <c r="G105" s="66">
        <v>46078</v>
      </c>
      <c r="H105" s="45" t="str">
        <f>IF(ISNUMBER(E105),F105-E105,"N/A")</f>
        <v>N/A</v>
      </c>
      <c r="I105" s="46" t="str">
        <f>IF(E105&lt;&gt;"",IF(F105=E105,"No Change",IF(F105&gt;E105,"Increase","Decrease")),"New")</f>
        <v>Increase</v>
      </c>
      <c r="J105" s="58"/>
      <c r="K105" s="59" t="str">
        <f>IF(LEN(J105)&gt;0,IF(OR(ISLOGICAL(J105),J105="TRUE"),"Yes",""),"")</f>
      </c>
      <c r="L105" s="59"/>
      <c r="M105" s="59"/>
      <c r="N105" s="62" t="str">
        <f>IF(LEN(M105)&gt;0,IF(OR(ISLOGICAL(M105),M105="TRUE"),"Yes",""),"")</f>
      </c>
      <c r="O105" s="59"/>
      <c r="P105" s="62" t="str">
        <f>IF(LEN(O105)&gt;0,IF(OR(ISLOGICAL(O105),O105="TRUE"),"Yes",""),"")</f>
      </c>
      <c r="Q105" s="62" t="s">
        <v>98</v>
      </c>
      <c r="R105" s="63"/>
    </row>
    <row r="106" spans="1:18" s="47" customFormat="1" ht="51">
      <c r="A106" s="63" t="s">
        <v>285</v>
      </c>
      <c r="B106" s="63" t="s">
        <v>96</v>
      </c>
      <c r="C106" s="63" t="s">
        <v>286</v>
      </c>
      <c r="D106" s="61"/>
      <c r="E106" s="45">
        <v>0.1925</v>
      </c>
      <c r="F106" s="45">
        <v>0.1925</v>
      </c>
      <c r="G106" s="66">
        <v>46082</v>
      </c>
      <c r="H106" s="45" t="str">
        <f>IF(ISNUMBER(E106),F106-E106,"N/A")</f>
        <v>N/A</v>
      </c>
      <c r="I106" s="46" t="str">
        <f>IF(E106&lt;&gt;"",IF(F106=E106,"No Change",IF(F106&gt;E106,"Increase","Decrease")),"New")</f>
        <v>Increase</v>
      </c>
      <c r="J106" s="58"/>
      <c r="K106" s="59" t="str">
        <f>IF(LEN(J106)&gt;0,IF(OR(ISLOGICAL(J106),J106="TRUE"),"Yes",""),"")</f>
      </c>
      <c r="L106" s="59"/>
      <c r="M106" s="59"/>
      <c r="N106" s="62" t="str">
        <f>IF(LEN(M106)&gt;0,IF(OR(ISLOGICAL(M106),M106="TRUE"),"Yes",""),"")</f>
      </c>
      <c r="O106" s="59"/>
      <c r="P106" s="62" t="str">
        <f>IF(LEN(O106)&gt;0,IF(OR(ISLOGICAL(O106),O106="TRUE"),"Yes",""),"")</f>
      </c>
      <c r="Q106" s="62" t="s">
        <v>98</v>
      </c>
      <c r="R106" s="63"/>
    </row>
    <row r="107" spans="1:18" s="47" customFormat="1" ht="51">
      <c r="A107" s="63" t="s">
        <v>287</v>
      </c>
      <c r="B107" s="63" t="s">
        <v>96</v>
      </c>
      <c r="C107" s="63" t="s">
        <v>288</v>
      </c>
      <c r="D107" s="61"/>
      <c r="E107" s="45">
        <v>0.1925</v>
      </c>
      <c r="F107" s="45">
        <v>0.1925</v>
      </c>
      <c r="G107" s="66">
        <v>46078</v>
      </c>
      <c r="H107" s="45" t="str">
        <f>IF(ISNUMBER(E107),F107-E107,"N/A")</f>
        <v>N/A</v>
      </c>
      <c r="I107" s="46" t="str">
        <f>IF(E107&lt;&gt;"",IF(F107=E107,"No Change",IF(F107&gt;E107,"Increase","Decrease")),"New")</f>
        <v>Increase</v>
      </c>
      <c r="J107" s="58"/>
      <c r="K107" s="59" t="str">
        <f>IF(LEN(J107)&gt;0,IF(OR(ISLOGICAL(J107),J107="TRUE"),"Yes",""),"")</f>
      </c>
      <c r="L107" s="59"/>
      <c r="M107" s="59"/>
      <c r="N107" s="62" t="str">
        <f>IF(LEN(M107)&gt;0,IF(OR(ISLOGICAL(M107),M107="TRUE"),"Yes",""),"")</f>
      </c>
      <c r="O107" s="59"/>
      <c r="P107" s="62" t="str">
        <f>IF(LEN(O107)&gt;0,IF(OR(ISLOGICAL(O107),O107="TRUE"),"Yes",""),"")</f>
      </c>
      <c r="Q107" s="62" t="s">
        <v>98</v>
      </c>
      <c r="R107" s="63"/>
    </row>
    <row r="108" spans="1:18" s="47" customFormat="1" ht="51">
      <c r="A108" s="63" t="s">
        <v>289</v>
      </c>
      <c r="B108" s="63" t="s">
        <v>96</v>
      </c>
      <c r="C108" s="63" t="s">
        <v>290</v>
      </c>
      <c r="D108" s="61"/>
      <c r="E108" s="45">
        <v>0.1925</v>
      </c>
      <c r="F108" s="45">
        <v>0.1925</v>
      </c>
      <c r="G108" s="66">
        <v>46085</v>
      </c>
      <c r="H108" s="45" t="str">
        <f>IF(ISNUMBER(E108),F108-E108,"N/A")</f>
        <v>N/A</v>
      </c>
      <c r="I108" s="46" t="str">
        <f>IF(E108&lt;&gt;"",IF(F108=E108,"No Change",IF(F108&gt;E108,"Increase","Decrease")),"New")</f>
        <v>Increase</v>
      </c>
      <c r="J108" s="58"/>
      <c r="K108" s="59" t="str">
        <f>IF(LEN(J108)&gt;0,IF(OR(ISLOGICAL(J108),J108="TRUE"),"Yes",""),"")</f>
      </c>
      <c r="L108" s="59"/>
      <c r="M108" s="59"/>
      <c r="N108" s="62" t="str">
        <f>IF(LEN(M108)&gt;0,IF(OR(ISLOGICAL(M108),M108="TRUE"),"Yes",""),"")</f>
      </c>
      <c r="O108" s="59"/>
      <c r="P108" s="62" t="str">
        <f>IF(LEN(O108)&gt;0,IF(OR(ISLOGICAL(O108),O108="TRUE"),"Yes",""),"")</f>
      </c>
      <c r="Q108" s="62" t="s">
        <v>98</v>
      </c>
      <c r="R108" s="63"/>
    </row>
    <row r="109" spans="1:18" s="47" customFormat="1" ht="51">
      <c r="A109" s="63" t="s">
        <v>291</v>
      </c>
      <c r="B109" s="63" t="s">
        <v>96</v>
      </c>
      <c r="C109" s="63" t="s">
        <v>292</v>
      </c>
      <c r="D109" s="61"/>
      <c r="E109" s="45">
        <v>0.333</v>
      </c>
      <c r="F109" s="45">
        <v>0.333</v>
      </c>
      <c r="G109" s="66">
        <v>46078</v>
      </c>
      <c r="H109" s="45" t="str">
        <f>IF(ISNUMBER(E109),F109-E109,"N/A")</f>
        <v>N/A</v>
      </c>
      <c r="I109" s="46" t="str">
        <f>IF(E109&lt;&gt;"",IF(F109=E109,"No Change",IF(F109&gt;E109,"Increase","Decrease")),"New")</f>
        <v>Increase</v>
      </c>
      <c r="J109" s="58"/>
      <c r="K109" s="59" t="str">
        <f>IF(LEN(J109)&gt;0,IF(OR(ISLOGICAL(J109),J109="TRUE"),"Yes",""),"")</f>
      </c>
      <c r="L109" s="59"/>
      <c r="M109" s="59"/>
      <c r="N109" s="62" t="str">
        <f>IF(LEN(M109)&gt;0,IF(OR(ISLOGICAL(M109),M109="TRUE"),"Yes",""),"")</f>
      </c>
      <c r="O109" s="59"/>
      <c r="P109" s="62" t="str">
        <f>IF(LEN(O109)&gt;0,IF(OR(ISLOGICAL(O109),O109="TRUE"),"Yes",""),"")</f>
      </c>
      <c r="Q109" s="62" t="s">
        <v>104</v>
      </c>
      <c r="R109" s="63"/>
    </row>
    <row r="110" spans="1:18" s="47" customFormat="1" ht="51">
      <c r="A110" s="63" t="s">
        <v>293</v>
      </c>
      <c r="B110" s="63" t="s">
        <v>96</v>
      </c>
      <c r="C110" s="63" t="s">
        <v>294</v>
      </c>
      <c r="D110" s="61"/>
      <c r="E110" s="45">
        <v>0.333</v>
      </c>
      <c r="F110" s="45">
        <v>0.333</v>
      </c>
      <c r="G110" s="66">
        <v>46082</v>
      </c>
      <c r="H110" s="45" t="str">
        <f>IF(ISNUMBER(E110),F110-E110,"N/A")</f>
        <v>N/A</v>
      </c>
      <c r="I110" s="46" t="str">
        <f>IF(E110&lt;&gt;"",IF(F110=E110,"No Change",IF(F110&gt;E110,"Increase","Decrease")),"New")</f>
        <v>Increase</v>
      </c>
      <c r="J110" s="58"/>
      <c r="K110" s="59" t="str">
        <f>IF(LEN(J110)&gt;0,IF(OR(ISLOGICAL(J110),J110="TRUE"),"Yes",""),"")</f>
      </c>
      <c r="L110" s="59"/>
      <c r="M110" s="59"/>
      <c r="N110" s="62" t="str">
        <f>IF(LEN(M110)&gt;0,IF(OR(ISLOGICAL(M110),M110="TRUE"),"Yes",""),"")</f>
      </c>
      <c r="O110" s="59"/>
      <c r="P110" s="62" t="str">
        <f>IF(LEN(O110)&gt;0,IF(OR(ISLOGICAL(O110),O110="TRUE"),"Yes",""),"")</f>
      </c>
      <c r="Q110" s="62" t="s">
        <v>104</v>
      </c>
      <c r="R110" s="63"/>
    </row>
    <row r="111" spans="1:18" s="47" customFormat="1" ht="51">
      <c r="A111" s="63" t="s">
        <v>295</v>
      </c>
      <c r="B111" s="63" t="s">
        <v>96</v>
      </c>
      <c r="C111" s="63" t="s">
        <v>296</v>
      </c>
      <c r="D111" s="61"/>
      <c r="E111" s="45">
        <v>0.333</v>
      </c>
      <c r="F111" s="45">
        <v>0.333</v>
      </c>
      <c r="G111" s="66">
        <v>46078</v>
      </c>
      <c r="H111" s="45" t="str">
        <f>IF(ISNUMBER(E111),F111-E111,"N/A")</f>
        <v>N/A</v>
      </c>
      <c r="I111" s="46" t="str">
        <f>IF(E111&lt;&gt;"",IF(F111=E111,"No Change",IF(F111&gt;E111,"Increase","Decrease")),"New")</f>
        <v>Increase</v>
      </c>
      <c r="J111" s="58" t="s">
        <v>122</v>
      </c>
      <c r="K111" s="59" t="str">
        <f>IF(LEN(J111)&gt;0,IF(OR(ISLOGICAL(J111),J111="TRUE"),"Yes",""),"")</f>
      </c>
      <c r="L111" s="59"/>
      <c r="M111" s="59"/>
      <c r="N111" s="62" t="str">
        <f>IF(LEN(M111)&gt;0,IF(OR(ISLOGICAL(M111),M111="TRUE"),"Yes",""),"")</f>
      </c>
      <c r="O111" s="59"/>
      <c r="P111" s="62" t="str">
        <f>IF(LEN(O111)&gt;0,IF(OR(ISLOGICAL(O111),O111="TRUE"),"Yes",""),"")</f>
      </c>
      <c r="Q111" s="62" t="s">
        <v>104</v>
      </c>
      <c r="R111" s="63"/>
    </row>
    <row r="112" spans="1:18" s="47" customFormat="1" ht="51">
      <c r="A112" s="63" t="s">
        <v>297</v>
      </c>
      <c r="B112" s="63" t="s">
        <v>96</v>
      </c>
      <c r="C112" s="63" t="s">
        <v>298</v>
      </c>
      <c r="D112" s="61"/>
      <c r="E112" s="45">
        <v>0.333</v>
      </c>
      <c r="F112" s="45">
        <v>0.333</v>
      </c>
      <c r="G112" s="66">
        <v>46043</v>
      </c>
      <c r="H112" s="45" t="str">
        <f>IF(ISNUMBER(E112),F112-E112,"N/A")</f>
        <v>N/A</v>
      </c>
      <c r="I112" s="46" t="str">
        <f>IF(E112&lt;&gt;"",IF(F112=E112,"No Change",IF(F112&gt;E112,"Increase","Decrease")),"New")</f>
        <v>Increase</v>
      </c>
      <c r="J112" s="58" t="s">
        <v>122</v>
      </c>
      <c r="K112" s="59" t="str">
        <f>IF(LEN(J112)&gt;0,IF(OR(ISLOGICAL(J112),J112="TRUE"),"Yes",""),"")</f>
      </c>
      <c r="L112" s="59"/>
      <c r="M112" s="59"/>
      <c r="N112" s="62" t="str">
        <f>IF(LEN(M112)&gt;0,IF(OR(ISLOGICAL(M112),M112="TRUE"),"Yes",""),"")</f>
      </c>
      <c r="O112" s="59"/>
      <c r="P112" s="62" t="str">
        <f>IF(LEN(O112)&gt;0,IF(OR(ISLOGICAL(O112),O112="TRUE"),"Yes",""),"")</f>
      </c>
      <c r="Q112" s="62" t="s">
        <v>104</v>
      </c>
      <c r="R112" s="63"/>
    </row>
    <row r="113" spans="1:18" s="47" customFormat="1" ht="51">
      <c r="A113" s="63" t="s">
        <v>299</v>
      </c>
      <c r="B113" s="63" t="s">
        <v>96</v>
      </c>
      <c r="C113" s="63" t="s">
        <v>300</v>
      </c>
      <c r="D113" s="61"/>
      <c r="E113" s="45">
        <v>0.333</v>
      </c>
      <c r="F113" s="45">
        <v>0.333</v>
      </c>
      <c r="G113" s="66">
        <v>46082</v>
      </c>
      <c r="H113" s="45" t="str">
        <f>IF(ISNUMBER(E113),F113-E113,"N/A")</f>
        <v>N/A</v>
      </c>
      <c r="I113" s="46" t="str">
        <f>IF(E113&lt;&gt;"",IF(F113=E113,"No Change",IF(F113&gt;E113,"Increase","Decrease")),"New")</f>
        <v>Increase</v>
      </c>
      <c r="J113" s="58"/>
      <c r="K113" s="59" t="str">
        <f>IF(LEN(J113)&gt;0,IF(OR(ISLOGICAL(J113),J113="TRUE"),"Yes",""),"")</f>
      </c>
      <c r="L113" s="59"/>
      <c r="M113" s="59"/>
      <c r="N113" s="62" t="str">
        <f>IF(LEN(M113)&gt;0,IF(OR(ISLOGICAL(M113),M113="TRUE"),"Yes",""),"")</f>
      </c>
      <c r="O113" s="59"/>
      <c r="P113" s="62" t="str">
        <f>IF(LEN(O113)&gt;0,IF(OR(ISLOGICAL(O113),O113="TRUE"),"Yes",""),"")</f>
      </c>
      <c r="Q113" s="62" t="s">
        <v>104</v>
      </c>
      <c r="R113" s="63"/>
    </row>
    <row r="114" spans="1:18" s="47" customFormat="1" ht="51">
      <c r="A114" s="63" t="s">
        <v>301</v>
      </c>
      <c r="B114" s="63" t="s">
        <v>96</v>
      </c>
      <c r="C114" s="63" t="s">
        <v>302</v>
      </c>
      <c r="D114" s="61"/>
      <c r="E114" s="45">
        <v>0.333</v>
      </c>
      <c r="F114" s="45">
        <v>0.333</v>
      </c>
      <c r="G114" s="66">
        <v>46043</v>
      </c>
      <c r="H114" s="45" t="str">
        <f>IF(ISNUMBER(E114),F114-E114,"N/A")</f>
        <v>N/A</v>
      </c>
      <c r="I114" s="46" t="str">
        <f>IF(E114&lt;&gt;"",IF(F114=E114,"No Change",IF(F114&gt;E114,"Increase","Decrease")),"New")</f>
        <v>Increase</v>
      </c>
      <c r="J114" s="58"/>
      <c r="K114" s="59" t="str">
        <f>IF(LEN(J114)&gt;0,IF(OR(ISLOGICAL(J114),J114="TRUE"),"Yes",""),"")</f>
      </c>
      <c r="L114" s="59"/>
      <c r="M114" s="59"/>
      <c r="N114" s="62" t="str">
        <f>IF(LEN(M114)&gt;0,IF(OR(ISLOGICAL(M114),M114="TRUE"),"Yes",""),"")</f>
      </c>
      <c r="O114" s="59"/>
      <c r="P114" s="62" t="str">
        <f>IF(LEN(O114)&gt;0,IF(OR(ISLOGICAL(O114),O114="TRUE"),"Yes",""),"")</f>
      </c>
      <c r="Q114" s="62" t="s">
        <v>104</v>
      </c>
      <c r="R114" s="63"/>
    </row>
    <row r="115" spans="1:18" s="47" customFormat="1" ht="51">
      <c r="A115" s="63" t="s">
        <v>303</v>
      </c>
      <c r="B115" s="63" t="s">
        <v>96</v>
      </c>
      <c r="C115" s="63" t="s">
        <v>304</v>
      </c>
      <c r="D115" s="61"/>
      <c r="E115" s="45">
        <v>0.0755</v>
      </c>
      <c r="F115" s="45">
        <v>0.0755</v>
      </c>
      <c r="G115" s="66">
        <v>46078</v>
      </c>
      <c r="H115" s="45" t="str">
        <f>IF(ISNUMBER(E115),F115-E115,"N/A")</f>
        <v>N/A</v>
      </c>
      <c r="I115" s="46" t="str">
        <f>IF(E115&lt;&gt;"",IF(F115=E115,"No Change",IF(F115&gt;E115,"Increase","Decrease")),"New")</f>
        <v>Increase</v>
      </c>
      <c r="J115" s="58"/>
      <c r="K115" s="59" t="str">
        <f>IF(LEN(J115)&gt;0,IF(OR(ISLOGICAL(J115),J115="TRUE"),"Yes",""),"")</f>
      </c>
      <c r="L115" s="59"/>
      <c r="M115" s="59"/>
      <c r="N115" s="62" t="str">
        <f>IF(LEN(M115)&gt;0,IF(OR(ISLOGICAL(M115),M115="TRUE"),"Yes",""),"")</f>
      </c>
      <c r="O115" s="59"/>
      <c r="P115" s="62" t="str">
        <f>IF(LEN(O115)&gt;0,IF(OR(ISLOGICAL(O115),O115="TRUE"),"Yes",""),"")</f>
      </c>
      <c r="Q115" s="62" t="s">
        <v>98</v>
      </c>
      <c r="R115" s="63"/>
    </row>
    <row r="116" spans="1:18" s="47" customFormat="1" ht="51">
      <c r="A116" s="63" t="s">
        <v>305</v>
      </c>
      <c r="B116" s="63" t="s">
        <v>96</v>
      </c>
      <c r="C116" s="63" t="s">
        <v>306</v>
      </c>
      <c r="D116" s="61"/>
      <c r="E116" s="45">
        <v>0.0755</v>
      </c>
      <c r="F116" s="45">
        <v>0.0755</v>
      </c>
      <c r="G116" s="66">
        <v>46082</v>
      </c>
      <c r="H116" s="45" t="str">
        <f>IF(ISNUMBER(E116),F116-E116,"N/A")</f>
        <v>N/A</v>
      </c>
      <c r="I116" s="46" t="str">
        <f>IF(E116&lt;&gt;"",IF(F116=E116,"No Change",IF(F116&gt;E116,"Increase","Decrease")),"New")</f>
        <v>Increase</v>
      </c>
      <c r="J116" s="58"/>
      <c r="K116" s="59" t="str">
        <f>IF(LEN(J116)&gt;0,IF(OR(ISLOGICAL(J116),J116="TRUE"),"Yes",""),"")</f>
      </c>
      <c r="L116" s="59"/>
      <c r="M116" s="59"/>
      <c r="N116" s="62" t="str">
        <f>IF(LEN(M116)&gt;0,IF(OR(ISLOGICAL(M116),M116="TRUE"),"Yes",""),"")</f>
      </c>
      <c r="O116" s="59"/>
      <c r="P116" s="62" t="str">
        <f>IF(LEN(O116)&gt;0,IF(OR(ISLOGICAL(O116),O116="TRUE"),"Yes",""),"")</f>
      </c>
      <c r="Q116" s="62" t="s">
        <v>98</v>
      </c>
      <c r="R116" s="63"/>
    </row>
    <row r="117" spans="1:18" s="47" customFormat="1" ht="51">
      <c r="A117" s="63" t="s">
        <v>307</v>
      </c>
      <c r="B117" s="63" t="s">
        <v>96</v>
      </c>
      <c r="C117" s="63" t="s">
        <v>308</v>
      </c>
      <c r="D117" s="61"/>
      <c r="E117" s="45">
        <v>0.0755</v>
      </c>
      <c r="F117" s="45">
        <v>0.0755</v>
      </c>
      <c r="G117" s="66">
        <v>46082</v>
      </c>
      <c r="H117" s="45" t="str">
        <f>IF(ISNUMBER(E117),F117-E117,"N/A")</f>
        <v>N/A</v>
      </c>
      <c r="I117" s="46" t="str">
        <f>IF(E117&lt;&gt;"",IF(F117=E117,"No Change",IF(F117&gt;E117,"Increase","Decrease")),"New")</f>
        <v>Increase</v>
      </c>
      <c r="J117" s="58"/>
      <c r="K117" s="59" t="str">
        <f>IF(LEN(J117)&gt;0,IF(OR(ISLOGICAL(J117),J117="TRUE"),"Yes",""),"")</f>
      </c>
      <c r="L117" s="59"/>
      <c r="M117" s="59"/>
      <c r="N117" s="62" t="str">
        <f>IF(LEN(M117)&gt;0,IF(OR(ISLOGICAL(M117),M117="TRUE"),"Yes",""),"")</f>
      </c>
      <c r="O117" s="59"/>
      <c r="P117" s="62" t="str">
        <f>IF(LEN(O117)&gt;0,IF(OR(ISLOGICAL(O117),O117="TRUE"),"Yes",""),"")</f>
      </c>
      <c r="Q117" s="62" t="s">
        <v>98</v>
      </c>
      <c r="R117" s="63"/>
    </row>
    <row r="118" spans="1:18" s="47" customFormat="1" ht="51">
      <c r="A118" s="63" t="s">
        <v>309</v>
      </c>
      <c r="B118" s="63" t="s">
        <v>96</v>
      </c>
      <c r="C118" s="63" t="s">
        <v>310</v>
      </c>
      <c r="D118" s="61"/>
      <c r="E118" s="45">
        <v>0.2055</v>
      </c>
      <c r="F118" s="45">
        <v>0.2055</v>
      </c>
      <c r="G118" s="66">
        <v>46106</v>
      </c>
      <c r="H118" s="45" t="str">
        <f>IF(ISNUMBER(E118),F118-E118,"N/A")</f>
        <v>N/A</v>
      </c>
      <c r="I118" s="46" t="str">
        <f>IF(E118&lt;&gt;"",IF(F118=E118,"No Change",IF(F118&gt;E118,"Increase","Decrease")),"New")</f>
        <v>Increase</v>
      </c>
      <c r="J118" s="58"/>
      <c r="K118" s="59" t="str">
        <f>IF(LEN(J118)&gt;0,IF(OR(ISLOGICAL(J118),J118="TRUE"),"Yes",""),"")</f>
      </c>
      <c r="L118" s="59"/>
      <c r="M118" s="59"/>
      <c r="N118" s="62" t="str">
        <f>IF(LEN(M118)&gt;0,IF(OR(ISLOGICAL(M118),M118="TRUE"),"Yes",""),"")</f>
      </c>
      <c r="O118" s="59"/>
      <c r="P118" s="62" t="str">
        <f>IF(LEN(O118)&gt;0,IF(OR(ISLOGICAL(O118),O118="TRUE"),"Yes",""),"")</f>
      </c>
      <c r="Q118" s="62" t="s">
        <v>98</v>
      </c>
      <c r="R118" s="63"/>
    </row>
    <row r="119" spans="1:18" s="47" customFormat="1" ht="51">
      <c r="A119" s="63" t="s">
        <v>311</v>
      </c>
      <c r="B119" s="63" t="s">
        <v>96</v>
      </c>
      <c r="C119" s="63" t="s">
        <v>312</v>
      </c>
      <c r="D119" s="61"/>
      <c r="E119" s="45">
        <v>0.2055</v>
      </c>
      <c r="F119" s="45">
        <v>0.2055</v>
      </c>
      <c r="G119" s="66">
        <v>46106</v>
      </c>
      <c r="H119" s="45" t="str">
        <f>IF(ISNUMBER(E119),F119-E119,"N/A")</f>
        <v>N/A</v>
      </c>
      <c r="I119" s="46" t="str">
        <f>IF(E119&lt;&gt;"",IF(F119=E119,"No Change",IF(F119&gt;E119,"Increase","Decrease")),"New")</f>
        <v>Increase</v>
      </c>
      <c r="J119" s="58"/>
      <c r="K119" s="59" t="str">
        <f>IF(LEN(J119)&gt;0,IF(OR(ISLOGICAL(J119),J119="TRUE"),"Yes",""),"")</f>
      </c>
      <c r="L119" s="59"/>
      <c r="M119" s="59"/>
      <c r="N119" s="62" t="str">
        <f>IF(LEN(M119)&gt;0,IF(OR(ISLOGICAL(M119),M119="TRUE"),"Yes",""),"")</f>
      </c>
      <c r="O119" s="59"/>
      <c r="P119" s="62" t="str">
        <f>IF(LEN(O119)&gt;0,IF(OR(ISLOGICAL(O119),O119="TRUE"),"Yes",""),"")</f>
      </c>
      <c r="Q119" s="62" t="s">
        <v>98</v>
      </c>
      <c r="R119" s="63"/>
    </row>
    <row r="120" spans="1:18" s="47" customFormat="1" ht="51">
      <c r="A120" s="63" t="s">
        <v>313</v>
      </c>
      <c r="B120" s="63" t="s">
        <v>96</v>
      </c>
      <c r="C120" s="63" t="s">
        <v>314</v>
      </c>
      <c r="D120" s="61"/>
      <c r="E120" s="45">
        <v>0.2055</v>
      </c>
      <c r="F120" s="45">
        <v>0.2055</v>
      </c>
      <c r="G120" s="66">
        <v>46106</v>
      </c>
      <c r="H120" s="45" t="str">
        <f>IF(ISNUMBER(E120),F120-E120,"N/A")</f>
        <v>N/A</v>
      </c>
      <c r="I120" s="46" t="str">
        <f>IF(E120&lt;&gt;"",IF(F120=E120,"No Change",IF(F120&gt;E120,"Increase","Decrease")),"New")</f>
        <v>Increase</v>
      </c>
      <c r="J120" s="58"/>
      <c r="K120" s="59" t="str">
        <f>IF(LEN(J120)&gt;0,IF(OR(ISLOGICAL(J120),J120="TRUE"),"Yes",""),"")</f>
      </c>
      <c r="L120" s="59"/>
      <c r="M120" s="59"/>
      <c r="N120" s="62" t="str">
        <f>IF(LEN(M120)&gt;0,IF(OR(ISLOGICAL(M120),M120="TRUE"),"Yes",""),"")</f>
      </c>
      <c r="O120" s="59"/>
      <c r="P120" s="62" t="str">
        <f>IF(LEN(O120)&gt;0,IF(OR(ISLOGICAL(O120),O120="TRUE"),"Yes",""),"")</f>
      </c>
      <c r="Q120" s="62" t="s">
        <v>98</v>
      </c>
      <c r="R120" s="63"/>
    </row>
    <row r="121" spans="1:18" s="47" customFormat="1" ht="51">
      <c r="A121" s="63" t="s">
        <v>315</v>
      </c>
      <c r="B121" s="63" t="s">
        <v>96</v>
      </c>
      <c r="C121" s="63" t="s">
        <v>316</v>
      </c>
      <c r="D121" s="61"/>
      <c r="E121" s="45">
        <v>0.2055</v>
      </c>
      <c r="F121" s="45">
        <v>0.2055</v>
      </c>
      <c r="G121" s="66">
        <v>46106</v>
      </c>
      <c r="H121" s="45" t="str">
        <f>IF(ISNUMBER(E121),F121-E121,"N/A")</f>
        <v>N/A</v>
      </c>
      <c r="I121" s="46" t="str">
        <f>IF(E121&lt;&gt;"",IF(F121=E121,"No Change",IF(F121&gt;E121,"Increase","Decrease")),"New")</f>
        <v>Increase</v>
      </c>
      <c r="J121" s="58"/>
      <c r="K121" s="59" t="str">
        <f>IF(LEN(J121)&gt;0,IF(OR(ISLOGICAL(J121),J121="TRUE"),"Yes",""),"")</f>
      </c>
      <c r="L121" s="59"/>
      <c r="M121" s="59"/>
      <c r="N121" s="62" t="str">
        <f>IF(LEN(M121)&gt;0,IF(OR(ISLOGICAL(M121),M121="TRUE"),"Yes",""),"")</f>
      </c>
      <c r="O121" s="59"/>
      <c r="P121" s="62" t="str">
        <f>IF(LEN(O121)&gt;0,IF(OR(ISLOGICAL(O121),O121="TRUE"),"Yes",""),"")</f>
      </c>
      <c r="Q121" s="62" t="s">
        <v>98</v>
      </c>
      <c r="R121" s="63"/>
    </row>
    <row r="122" spans="1:18" s="47" customFormat="1" ht="51">
      <c r="A122" s="63" t="s">
        <v>317</v>
      </c>
      <c r="B122" s="63" t="s">
        <v>96</v>
      </c>
      <c r="C122" s="63" t="s">
        <v>318</v>
      </c>
      <c r="D122" s="61"/>
      <c r="E122" s="45">
        <v>0.438</v>
      </c>
      <c r="F122" s="45">
        <v>0.438</v>
      </c>
      <c r="G122" s="66">
        <v>46092</v>
      </c>
      <c r="H122" s="45" t="str">
        <f>IF(ISNUMBER(E122),F122-E122,"N/A")</f>
        <v>N/A</v>
      </c>
      <c r="I122" s="46" t="str">
        <f>IF(E122&lt;&gt;"",IF(F122=E122,"No Change",IF(F122&gt;E122,"Increase","Decrease")),"New")</f>
        <v>Increase</v>
      </c>
      <c r="J122" s="58"/>
      <c r="K122" s="59" t="str">
        <f>IF(LEN(J122)&gt;0,IF(OR(ISLOGICAL(J122),J122="TRUE"),"Yes",""),"")</f>
      </c>
      <c r="L122" s="59"/>
      <c r="M122" s="59"/>
      <c r="N122" s="62" t="str">
        <f>IF(LEN(M122)&gt;0,IF(OR(ISLOGICAL(M122),M122="TRUE"),"Yes",""),"")</f>
      </c>
      <c r="O122" s="59"/>
      <c r="P122" s="62" t="str">
        <f>IF(LEN(O122)&gt;0,IF(OR(ISLOGICAL(O122),O122="TRUE"),"Yes",""),"")</f>
      </c>
      <c r="Q122" s="62" t="s">
        <v>98</v>
      </c>
      <c r="R122" s="63"/>
    </row>
    <row r="123" spans="1:18" s="47" customFormat="1" ht="51">
      <c r="A123" s="63" t="s">
        <v>319</v>
      </c>
      <c r="B123" s="63" t="s">
        <v>96</v>
      </c>
      <c r="C123" s="63" t="s">
        <v>320</v>
      </c>
      <c r="D123" s="61"/>
      <c r="E123" s="45">
        <v>0.2055</v>
      </c>
      <c r="F123" s="45">
        <v>0.2055</v>
      </c>
      <c r="G123" s="66">
        <v>46106</v>
      </c>
      <c r="H123" s="45" t="str">
        <f>IF(ISNUMBER(E123),F123-E123,"N/A")</f>
        <v>N/A</v>
      </c>
      <c r="I123" s="46" t="str">
        <f>IF(E123&lt;&gt;"",IF(F123=E123,"No Change",IF(F123&gt;E123,"Increase","Decrease")),"New")</f>
        <v>Increase</v>
      </c>
      <c r="J123" s="58"/>
      <c r="K123" s="59" t="str">
        <f>IF(LEN(J123)&gt;0,IF(OR(ISLOGICAL(J123),J123="TRUE"),"Yes",""),"")</f>
      </c>
      <c r="L123" s="59"/>
      <c r="M123" s="59"/>
      <c r="N123" s="62" t="str">
        <f>IF(LEN(M123)&gt;0,IF(OR(ISLOGICAL(M123),M123="TRUE"),"Yes",""),"")</f>
      </c>
      <c r="O123" s="59"/>
      <c r="P123" s="62" t="str">
        <f>IF(LEN(O123)&gt;0,IF(OR(ISLOGICAL(O123),O123="TRUE"),"Yes",""),"")</f>
      </c>
      <c r="Q123" s="62" t="s">
        <v>98</v>
      </c>
      <c r="R123" s="63"/>
    </row>
    <row r="124" spans="1:18" s="47" customFormat="1" ht="51">
      <c r="A124" s="63" t="s">
        <v>321</v>
      </c>
      <c r="B124" s="63" t="s">
        <v>96</v>
      </c>
      <c r="C124" s="63" t="s">
        <v>322</v>
      </c>
      <c r="D124" s="61"/>
      <c r="E124" s="45">
        <v>0.0755</v>
      </c>
      <c r="F124" s="45">
        <v>0.0755</v>
      </c>
      <c r="G124" s="66">
        <v>46082</v>
      </c>
      <c r="H124" s="45" t="str">
        <f>IF(ISNUMBER(E124),F124-E124,"N/A")</f>
        <v>N/A</v>
      </c>
      <c r="I124" s="46" t="str">
        <f>IF(E124&lt;&gt;"",IF(F124=E124,"No Change",IF(F124&gt;E124,"Increase","Decrease")),"New")</f>
        <v>Increase</v>
      </c>
      <c r="J124" s="58"/>
      <c r="K124" s="59" t="str">
        <f>IF(LEN(J124)&gt;0,IF(OR(ISLOGICAL(J124),J124="TRUE"),"Yes",""),"")</f>
      </c>
      <c r="L124" s="59"/>
      <c r="M124" s="59"/>
      <c r="N124" s="62" t="str">
        <f>IF(LEN(M124)&gt;0,IF(OR(ISLOGICAL(M124),M124="TRUE"),"Yes",""),"")</f>
      </c>
      <c r="O124" s="59"/>
      <c r="P124" s="62" t="str">
        <f>IF(LEN(O124)&gt;0,IF(OR(ISLOGICAL(O124),O124="TRUE"),"Yes",""),"")</f>
      </c>
      <c r="Q124" s="62" t="s">
        <v>98</v>
      </c>
      <c r="R124" s="63"/>
    </row>
    <row r="125" spans="1:18" s="47" customFormat="1" ht="51">
      <c r="A125" s="63" t="s">
        <v>323</v>
      </c>
      <c r="B125" s="63" t="s">
        <v>96</v>
      </c>
      <c r="C125" s="63" t="s">
        <v>324</v>
      </c>
      <c r="D125" s="61"/>
      <c r="E125" s="45">
        <v>0.172</v>
      </c>
      <c r="F125" s="45">
        <v>0.172</v>
      </c>
      <c r="G125" s="66">
        <v>43096</v>
      </c>
      <c r="H125" s="45" t="str">
        <f>IF(ISNUMBER(E125),F125-E125,"N/A")</f>
        <v>N/A</v>
      </c>
      <c r="I125" s="46" t="str">
        <f>IF(E125&lt;&gt;"",IF(F125=E125,"No Change",IF(F125&gt;E125,"Increase","Decrease")),"New")</f>
        <v>Increase</v>
      </c>
      <c r="J125" s="58"/>
      <c r="K125" s="59" t="str">
        <f>IF(LEN(J125)&gt;0,IF(OR(ISLOGICAL(J125),J125="TRUE"),"Yes",""),"")</f>
      </c>
      <c r="L125" s="59"/>
      <c r="M125" s="59"/>
      <c r="N125" s="62" t="str">
        <f>IF(LEN(M125)&gt;0,IF(OR(ISLOGICAL(M125),M125="TRUE"),"Yes",""),"")</f>
      </c>
      <c r="O125" s="59"/>
      <c r="P125" s="62" t="str">
        <f>IF(LEN(O125)&gt;0,IF(OR(ISLOGICAL(O125),O125="TRUE"),"Yes",""),"")</f>
      </c>
      <c r="Q125" s="62" t="s">
        <v>98</v>
      </c>
      <c r="R125" s="63"/>
    </row>
    <row r="126" spans="1:18" s="47" customFormat="1" ht="51">
      <c r="A126" s="63" t="s">
        <v>325</v>
      </c>
      <c r="B126" s="63" t="s">
        <v>96</v>
      </c>
      <c r="C126" s="63" t="s">
        <v>326</v>
      </c>
      <c r="D126" s="61"/>
      <c r="E126" s="45">
        <v>0.205</v>
      </c>
      <c r="F126" s="45">
        <v>0.205</v>
      </c>
      <c r="G126" s="66">
        <v>44769</v>
      </c>
      <c r="H126" s="45" t="str">
        <f>IF(ISNUMBER(E126),F126-E126,"N/A")</f>
        <v>N/A</v>
      </c>
      <c r="I126" s="46" t="str">
        <f>IF(E126&lt;&gt;"",IF(F126=E126,"No Change",IF(F126&gt;E126,"Increase","Decrease")),"New")</f>
        <v>Increase</v>
      </c>
      <c r="J126" s="58"/>
      <c r="K126" s="59" t="str">
        <f>IF(LEN(J126)&gt;0,IF(OR(ISLOGICAL(J126),J126="TRUE"),"Yes",""),"")</f>
      </c>
      <c r="L126" s="59"/>
      <c r="M126" s="59"/>
      <c r="N126" s="62" t="str">
        <f>IF(LEN(M126)&gt;0,IF(OR(ISLOGICAL(M126),M126="TRUE"),"Yes",""),"")</f>
      </c>
      <c r="O126" s="59"/>
      <c r="P126" s="62" t="str">
        <f>IF(LEN(O126)&gt;0,IF(OR(ISLOGICAL(O126),O126="TRUE"),"Yes",""),"")</f>
      </c>
      <c r="Q126" s="62" t="s">
        <v>98</v>
      </c>
      <c r="R126" s="63"/>
    </row>
    <row r="127" spans="1:18" s="47" customFormat="1" ht="51">
      <c r="A127" s="63" t="s">
        <v>327</v>
      </c>
      <c r="B127" s="63" t="s">
        <v>96</v>
      </c>
      <c r="C127" s="63" t="s">
        <v>328</v>
      </c>
      <c r="D127" s="61"/>
      <c r="E127" s="45">
        <v>0.32</v>
      </c>
      <c r="F127" s="45">
        <v>0.32</v>
      </c>
      <c r="G127" s="66">
        <v>46092</v>
      </c>
      <c r="H127" s="45" t="str">
        <f>IF(ISNUMBER(E127),F127-E127,"N/A")</f>
        <v>N/A</v>
      </c>
      <c r="I127" s="46" t="str">
        <f>IF(E127&lt;&gt;"",IF(F127=E127,"No Change",IF(F127&gt;E127,"Increase","Decrease")),"New")</f>
        <v>Increase</v>
      </c>
      <c r="J127" s="58"/>
      <c r="K127" s="59" t="str">
        <f>IF(LEN(J127)&gt;0,IF(OR(ISLOGICAL(J127),J127="TRUE"),"Yes",""),"")</f>
      </c>
      <c r="L127" s="59"/>
      <c r="M127" s="59"/>
      <c r="N127" s="62" t="str">
        <f>IF(LEN(M127)&gt;0,IF(OR(ISLOGICAL(M127),M127="TRUE"),"Yes",""),"")</f>
      </c>
      <c r="O127" s="59"/>
      <c r="P127" s="62" t="str">
        <f>IF(LEN(O127)&gt;0,IF(OR(ISLOGICAL(O127),O127="TRUE"),"Yes",""),"")</f>
      </c>
      <c r="Q127" s="62" t="s">
        <v>98</v>
      </c>
      <c r="R127" s="63"/>
    </row>
    <row r="128" spans="1:18" s="47" customFormat="1" ht="51">
      <c r="A128" s="63" t="s">
        <v>329</v>
      </c>
      <c r="B128" s="63" t="s">
        <v>96</v>
      </c>
      <c r="C128" s="63" t="s">
        <v>330</v>
      </c>
      <c r="D128" s="61"/>
      <c r="E128" s="45">
        <v>0.3</v>
      </c>
      <c r="F128" s="45">
        <v>0.3</v>
      </c>
      <c r="G128" s="66">
        <v>46082</v>
      </c>
      <c r="H128" s="45" t="str">
        <f>IF(ISNUMBER(E128),F128-E128,"N/A")</f>
        <v>N/A</v>
      </c>
      <c r="I128" s="46" t="str">
        <f>IF(E128&lt;&gt;"",IF(F128=E128,"No Change",IF(F128&gt;E128,"Increase","Decrease")),"New")</f>
        <v>Increase</v>
      </c>
      <c r="J128" s="58"/>
      <c r="K128" s="59" t="str">
        <f>IF(LEN(J128)&gt;0,IF(OR(ISLOGICAL(J128),J128="TRUE"),"Yes",""),"")</f>
      </c>
      <c r="L128" s="59"/>
      <c r="M128" s="59"/>
      <c r="N128" s="62" t="str">
        <f>IF(LEN(M128)&gt;0,IF(OR(ISLOGICAL(M128),M128="TRUE"),"Yes",""),"")</f>
      </c>
      <c r="O128" s="59"/>
      <c r="P128" s="62" t="str">
        <f>IF(LEN(O128)&gt;0,IF(OR(ISLOGICAL(O128),O128="TRUE"),"Yes",""),"")</f>
      </c>
      <c r="Q128" s="62" t="s">
        <v>98</v>
      </c>
      <c r="R128" s="63"/>
    </row>
    <row r="129" spans="1:18" s="47" customFormat="1" ht="51">
      <c r="A129" s="63" t="s">
        <v>331</v>
      </c>
      <c r="B129" s="63" t="s">
        <v>96</v>
      </c>
      <c r="C129" s="63" t="s">
        <v>332</v>
      </c>
      <c r="D129" s="61"/>
      <c r="E129" s="45">
        <v>0.36</v>
      </c>
      <c r="F129" s="45">
        <v>0.36</v>
      </c>
      <c r="G129" s="66">
        <v>46120</v>
      </c>
      <c r="H129" s="45" t="str">
        <f>IF(ISNUMBER(E129),F129-E129,"N/A")</f>
        <v>N/A</v>
      </c>
      <c r="I129" s="46" t="str">
        <f>IF(E129&lt;&gt;"",IF(F129=E129,"No Change",IF(F129&gt;E129,"Increase","Decrease")),"New")</f>
        <v>Increase</v>
      </c>
      <c r="J129" s="58" t="s">
        <v>122</v>
      </c>
      <c r="K129" s="59" t="str">
        <f>IF(LEN(J129)&gt;0,IF(OR(ISLOGICAL(J129),J129="TRUE"),"Yes",""),"")</f>
      </c>
      <c r="L129" s="59"/>
      <c r="M129" s="59"/>
      <c r="N129" s="62" t="str">
        <f>IF(LEN(M129)&gt;0,IF(OR(ISLOGICAL(M129),M129="TRUE"),"Yes",""),"")</f>
      </c>
      <c r="O129" s="59"/>
      <c r="P129" s="62" t="str">
        <f>IF(LEN(O129)&gt;0,IF(OR(ISLOGICAL(O129),O129="TRUE"),"Yes",""),"")</f>
      </c>
      <c r="Q129" s="62" t="s">
        <v>98</v>
      </c>
      <c r="R129" s="63"/>
    </row>
    <row r="130" spans="1:18" s="47" customFormat="1" ht="51">
      <c r="A130" s="63" t="s">
        <v>333</v>
      </c>
      <c r="B130" s="63" t="s">
        <v>96</v>
      </c>
      <c r="C130" s="63" t="s">
        <v>334</v>
      </c>
      <c r="D130" s="61"/>
      <c r="E130" s="45">
        <v>0.35</v>
      </c>
      <c r="F130" s="45">
        <v>0.35</v>
      </c>
      <c r="G130" s="66">
        <v>46143</v>
      </c>
      <c r="H130" s="45" t="str">
        <f>IF(ISNUMBER(E130),F130-E130,"N/A")</f>
        <v>N/A</v>
      </c>
      <c r="I130" s="46" t="str">
        <f>IF(E130&lt;&gt;"",IF(F130=E130,"No Change",IF(F130&gt;E130,"Increase","Decrease")),"New")</f>
        <v>Increase</v>
      </c>
      <c r="J130" s="58" t="s">
        <v>122</v>
      </c>
      <c r="K130" s="59" t="str">
        <f>IF(LEN(J130)&gt;0,IF(OR(ISLOGICAL(J130),J130="TRUE"),"Yes",""),"")</f>
      </c>
      <c r="L130" s="59"/>
      <c r="M130" s="59"/>
      <c r="N130" s="62" t="str">
        <f>IF(LEN(M130)&gt;0,IF(OR(ISLOGICAL(M130),M130="TRUE"),"Yes",""),"")</f>
      </c>
      <c r="O130" s="59"/>
      <c r="P130" s="62" t="str">
        <f>IF(LEN(O130)&gt;0,IF(OR(ISLOGICAL(O130),O130="TRUE"),"Yes",""),"")</f>
      </c>
      <c r="Q130" s="62" t="s">
        <v>109</v>
      </c>
      <c r="R130" s="63"/>
    </row>
    <row r="131" spans="1:18" s="47" customFormat="1" ht="51">
      <c r="A131" s="63" t="s">
        <v>335</v>
      </c>
      <c r="B131" s="63" t="s">
        <v>96</v>
      </c>
      <c r="C131" s="63" t="s">
        <v>336</v>
      </c>
      <c r="D131" s="61"/>
      <c r="E131" s="45">
        <v>0.019</v>
      </c>
      <c r="F131" s="45">
        <v>0.019</v>
      </c>
      <c r="G131" s="66">
        <v>46092</v>
      </c>
      <c r="H131" s="45" t="str">
        <f>IF(ISNUMBER(E131),F131-E131,"N/A")</f>
        <v>N/A</v>
      </c>
      <c r="I131" s="46" t="str">
        <f>IF(E131&lt;&gt;"",IF(F131=E131,"No Change",IF(F131&gt;E131,"Increase","Decrease")),"New")</f>
        <v>Increase</v>
      </c>
      <c r="J131" s="58"/>
      <c r="K131" s="59" t="str">
        <f>IF(LEN(J131)&gt;0,IF(OR(ISLOGICAL(J131),J131="TRUE"),"Yes",""),"")</f>
      </c>
      <c r="L131" s="59"/>
      <c r="M131" s="59"/>
      <c r="N131" s="62" t="str">
        <f>IF(LEN(M131)&gt;0,IF(OR(ISLOGICAL(M131),M131="TRUE"),"Yes",""),"")</f>
      </c>
      <c r="O131" s="59"/>
      <c r="P131" s="62" t="str">
        <f>IF(LEN(O131)&gt;0,IF(OR(ISLOGICAL(O131),O131="TRUE"),"Yes",""),"")</f>
      </c>
      <c r="Q131" s="62" t="s">
        <v>98</v>
      </c>
      <c r="R131" s="63"/>
    </row>
    <row r="132" spans="1:18" s="47" customFormat="1" ht="51">
      <c r="A132" s="63" t="s">
        <v>337</v>
      </c>
      <c r="B132" s="63" t="s">
        <v>96</v>
      </c>
      <c r="C132" s="63" t="s">
        <v>338</v>
      </c>
      <c r="D132" s="61"/>
      <c r="E132" s="45">
        <v>0.028</v>
      </c>
      <c r="F132" s="45">
        <v>0.028</v>
      </c>
      <c r="G132" s="66">
        <v>46082</v>
      </c>
      <c r="H132" s="45" t="str">
        <f>IF(ISNUMBER(E132),F132-E132,"N/A")</f>
        <v>N/A</v>
      </c>
      <c r="I132" s="46" t="str">
        <f>IF(E132&lt;&gt;"",IF(F132=E132,"No Change",IF(F132&gt;E132,"Increase","Decrease")),"New")</f>
        <v>Increase</v>
      </c>
      <c r="J132" s="58"/>
      <c r="K132" s="59" t="str">
        <f>IF(LEN(J132)&gt;0,IF(OR(ISLOGICAL(J132),J132="TRUE"),"Yes",""),"")</f>
      </c>
      <c r="L132" s="59"/>
      <c r="M132" s="59"/>
      <c r="N132" s="62" t="str">
        <f>IF(LEN(M132)&gt;0,IF(OR(ISLOGICAL(M132),M132="TRUE"),"Yes",""),"")</f>
      </c>
      <c r="O132" s="59"/>
      <c r="P132" s="62" t="str">
        <f>IF(LEN(O132)&gt;0,IF(OR(ISLOGICAL(O132),O132="TRUE"),"Yes",""),"")</f>
      </c>
      <c r="Q132" s="62" t="s">
        <v>98</v>
      </c>
      <c r="R132" s="63"/>
    </row>
    <row r="133" spans="1:18" s="47" customFormat="1" ht="51">
      <c r="A133" s="63" t="s">
        <v>339</v>
      </c>
      <c r="B133" s="63" t="s">
        <v>96</v>
      </c>
      <c r="C133" s="63" t="s">
        <v>340</v>
      </c>
      <c r="D133" s="61"/>
      <c r="E133" s="45">
        <v>0.028</v>
      </c>
      <c r="F133" s="45">
        <v>0.028</v>
      </c>
      <c r="G133" s="66">
        <v>46082</v>
      </c>
      <c r="H133" s="45" t="str">
        <f>IF(ISNUMBER(E133),F133-E133,"N/A")</f>
        <v>N/A</v>
      </c>
      <c r="I133" s="46" t="str">
        <f>IF(E133&lt;&gt;"",IF(F133=E133,"No Change",IF(F133&gt;E133,"Increase","Decrease")),"New")</f>
        <v>Increase</v>
      </c>
      <c r="J133" s="58"/>
      <c r="K133" s="59" t="str">
        <f>IF(LEN(J133)&gt;0,IF(OR(ISLOGICAL(J133),J133="TRUE"),"Yes",""),"")</f>
      </c>
      <c r="L133" s="59"/>
      <c r="M133" s="59"/>
      <c r="N133" s="62" t="str">
        <f>IF(LEN(M133)&gt;0,IF(OR(ISLOGICAL(M133),M133="TRUE"),"Yes",""),"")</f>
      </c>
      <c r="O133" s="59"/>
      <c r="P133" s="62" t="str">
        <f>IF(LEN(O133)&gt;0,IF(OR(ISLOGICAL(O133),O133="TRUE"),"Yes",""),"")</f>
      </c>
      <c r="Q133" s="62" t="s">
        <v>98</v>
      </c>
      <c r="R133" s="63"/>
    </row>
    <row r="134" spans="1:18" s="47" customFormat="1" ht="51">
      <c r="A134" s="63" t="s">
        <v>341</v>
      </c>
      <c r="B134" s="63" t="s">
        <v>96</v>
      </c>
      <c r="C134" s="63" t="s">
        <v>342</v>
      </c>
      <c r="D134" s="61"/>
      <c r="E134" s="45">
        <v>0.028</v>
      </c>
      <c r="F134" s="45">
        <v>0.028</v>
      </c>
      <c r="G134" s="66">
        <v>46082</v>
      </c>
      <c r="H134" s="45" t="str">
        <f>IF(ISNUMBER(E134),F134-E134,"N/A")</f>
        <v>N/A</v>
      </c>
      <c r="I134" s="46" t="str">
        <f>IF(E134&lt;&gt;"",IF(F134=E134,"No Change",IF(F134&gt;E134,"Increase","Decrease")),"New")</f>
        <v>Increase</v>
      </c>
      <c r="J134" s="58"/>
      <c r="K134" s="59" t="str">
        <f>IF(LEN(J134)&gt;0,IF(OR(ISLOGICAL(J134),J134="TRUE"),"Yes",""),"")</f>
      </c>
      <c r="L134" s="59"/>
      <c r="M134" s="59"/>
      <c r="N134" s="62" t="str">
        <f>IF(LEN(M134)&gt;0,IF(OR(ISLOGICAL(M134),M134="TRUE"),"Yes",""),"")</f>
      </c>
      <c r="O134" s="59"/>
      <c r="P134" s="62" t="str">
        <f>IF(LEN(O134)&gt;0,IF(OR(ISLOGICAL(O134),O134="TRUE"),"Yes",""),"")</f>
      </c>
      <c r="Q134" s="62" t="s">
        <v>98</v>
      </c>
      <c r="R134" s="63"/>
    </row>
    <row r="135" spans="1:18" s="47" customFormat="1" ht="51">
      <c r="A135" s="63" t="s">
        <v>343</v>
      </c>
      <c r="B135" s="63" t="s">
        <v>96</v>
      </c>
      <c r="C135" s="63" t="s">
        <v>344</v>
      </c>
      <c r="D135" s="61"/>
      <c r="E135" s="45">
        <v>0.0426</v>
      </c>
      <c r="F135" s="45">
        <v>0.0426</v>
      </c>
      <c r="G135" s="66">
        <v>46092</v>
      </c>
      <c r="H135" s="45" t="str">
        <f>IF(ISNUMBER(E135),F135-E135,"N/A")</f>
        <v>N/A</v>
      </c>
      <c r="I135" s="46" t="str">
        <f>IF(E135&lt;&gt;"",IF(F135=E135,"No Change",IF(F135&gt;E135,"Increase","Decrease")),"New")</f>
        <v>Increase</v>
      </c>
      <c r="J135" s="58"/>
      <c r="K135" s="59" t="str">
        <f>IF(LEN(J135)&gt;0,IF(OR(ISLOGICAL(J135),J135="TRUE"),"Yes",""),"")</f>
      </c>
      <c r="L135" s="59"/>
      <c r="M135" s="59"/>
      <c r="N135" s="62" t="str">
        <f>IF(LEN(M135)&gt;0,IF(OR(ISLOGICAL(M135),M135="TRUE"),"Yes",""),"")</f>
      </c>
      <c r="O135" s="59"/>
      <c r="P135" s="62" t="str">
        <f>IF(LEN(O135)&gt;0,IF(OR(ISLOGICAL(O135),O135="TRUE"),"Yes",""),"")</f>
      </c>
      <c r="Q135" s="62" t="s">
        <v>98</v>
      </c>
      <c r="R135" s="63"/>
    </row>
    <row r="136" spans="1:18" s="47" customFormat="1" ht="51">
      <c r="A136" s="63" t="s">
        <v>345</v>
      </c>
      <c r="B136" s="63" t="s">
        <v>96</v>
      </c>
      <c r="C136" s="63" t="s">
        <v>346</v>
      </c>
      <c r="D136" s="61"/>
      <c r="E136" s="45">
        <v>0.1655</v>
      </c>
      <c r="F136" s="45">
        <v>0.1655</v>
      </c>
      <c r="G136" s="66">
        <v>46092</v>
      </c>
      <c r="H136" s="45" t="str">
        <f>IF(ISNUMBER(E136),F136-E136,"N/A")</f>
        <v>N/A</v>
      </c>
      <c r="I136" s="46" t="str">
        <f>IF(E136&lt;&gt;"",IF(F136=E136,"No Change",IF(F136&gt;E136,"Increase","Decrease")),"New")</f>
        <v>Increase</v>
      </c>
      <c r="J136" s="58"/>
      <c r="K136" s="59" t="str">
        <f>IF(LEN(J136)&gt;0,IF(OR(ISLOGICAL(J136),J136="TRUE"),"Yes",""),"")</f>
      </c>
      <c r="L136" s="59"/>
      <c r="M136" s="59"/>
      <c r="N136" s="62" t="str">
        <f>IF(LEN(M136)&gt;0,IF(OR(ISLOGICAL(M136),M136="TRUE"),"Yes",""),"")</f>
      </c>
      <c r="O136" s="59"/>
      <c r="P136" s="62" t="str">
        <f>IF(LEN(O136)&gt;0,IF(OR(ISLOGICAL(O136),O136="TRUE"),"Yes",""),"")</f>
      </c>
      <c r="Q136" s="62" t="s">
        <v>98</v>
      </c>
      <c r="R136" s="63"/>
    </row>
    <row r="137" spans="1:18" s="47" customFormat="1" ht="51">
      <c r="A137" s="63" t="s">
        <v>347</v>
      </c>
      <c r="B137" s="63" t="s">
        <v>96</v>
      </c>
      <c r="C137" s="63" t="s">
        <v>348</v>
      </c>
      <c r="D137" s="61"/>
      <c r="E137" s="45">
        <v>0.1655</v>
      </c>
      <c r="F137" s="45">
        <v>0.1655</v>
      </c>
      <c r="G137" s="66">
        <v>46082</v>
      </c>
      <c r="H137" s="45" t="str">
        <f>IF(ISNUMBER(E137),F137-E137,"N/A")</f>
        <v>N/A</v>
      </c>
      <c r="I137" s="46" t="str">
        <f>IF(E137&lt;&gt;"",IF(F137=E137,"No Change",IF(F137&gt;E137,"Increase","Decrease")),"New")</f>
        <v>Increase</v>
      </c>
      <c r="J137" s="58"/>
      <c r="K137" s="59" t="str">
        <f>IF(LEN(J137)&gt;0,IF(OR(ISLOGICAL(J137),J137="TRUE"),"Yes",""),"")</f>
      </c>
      <c r="L137" s="59"/>
      <c r="M137" s="59"/>
      <c r="N137" s="62" t="str">
        <f>IF(LEN(M137)&gt;0,IF(OR(ISLOGICAL(M137),M137="TRUE"),"Yes",""),"")</f>
      </c>
      <c r="O137" s="59"/>
      <c r="P137" s="62" t="str">
        <f>IF(LEN(O137)&gt;0,IF(OR(ISLOGICAL(O137),O137="TRUE"),"Yes",""),"")</f>
      </c>
      <c r="Q137" s="62" t="s">
        <v>98</v>
      </c>
      <c r="R137" s="63"/>
    </row>
    <row r="138" spans="1:18" s="47" customFormat="1" ht="51">
      <c r="A138" s="63" t="s">
        <v>349</v>
      </c>
      <c r="B138" s="63" t="s">
        <v>96</v>
      </c>
      <c r="C138" s="63" t="s">
        <v>350</v>
      </c>
      <c r="D138" s="61"/>
      <c r="E138" s="45">
        <v>0.145</v>
      </c>
      <c r="F138" s="45">
        <v>0.145</v>
      </c>
      <c r="G138" s="66">
        <v>46078</v>
      </c>
      <c r="H138" s="45" t="str">
        <f>IF(ISNUMBER(E138),F138-E138,"N/A")</f>
        <v>N/A</v>
      </c>
      <c r="I138" s="46" t="str">
        <f>IF(E138&lt;&gt;"",IF(F138=E138,"No Change",IF(F138&gt;E138,"Increase","Decrease")),"New")</f>
        <v>Increase</v>
      </c>
      <c r="J138" s="58" t="s">
        <v>122</v>
      </c>
      <c r="K138" s="59" t="str">
        <f>IF(LEN(J138)&gt;0,IF(OR(ISLOGICAL(J138),J138="TRUE"),"Yes",""),"")</f>
      </c>
      <c r="L138" s="59"/>
      <c r="M138" s="59"/>
      <c r="N138" s="62" t="str">
        <f>IF(LEN(M138)&gt;0,IF(OR(ISLOGICAL(M138),M138="TRUE"),"Yes",""),"")</f>
      </c>
      <c r="O138" s="59"/>
      <c r="P138" s="62" t="str">
        <f>IF(LEN(O138)&gt;0,IF(OR(ISLOGICAL(O138),O138="TRUE"),"Yes",""),"")</f>
      </c>
      <c r="Q138" s="62" t="s">
        <v>98</v>
      </c>
      <c r="R138" s="63"/>
    </row>
    <row r="139" spans="1:18" s="47" customFormat="1" ht="51">
      <c r="A139" s="63" t="s">
        <v>351</v>
      </c>
      <c r="B139" s="63" t="s">
        <v>96</v>
      </c>
      <c r="C139" s="63" t="s">
        <v>352</v>
      </c>
      <c r="D139" s="61"/>
      <c r="E139" s="45">
        <v>0.1655</v>
      </c>
      <c r="F139" s="45">
        <v>0.1655</v>
      </c>
      <c r="G139" s="66">
        <v>45028</v>
      </c>
      <c r="H139" s="45" t="str">
        <f>IF(ISNUMBER(E139),F139-E139,"N/A")</f>
        <v>N/A</v>
      </c>
      <c r="I139" s="46" t="str">
        <f>IF(E139&lt;&gt;"",IF(F139=E139,"No Change",IF(F139&gt;E139,"Increase","Decrease")),"New")</f>
        <v>Increase</v>
      </c>
      <c r="J139" s="58" t="s">
        <v>122</v>
      </c>
      <c r="K139" s="59" t="str">
        <f>IF(LEN(J139)&gt;0,IF(OR(ISLOGICAL(J139),J139="TRUE"),"Yes",""),"")</f>
      </c>
      <c r="L139" s="59"/>
      <c r="M139" s="59"/>
      <c r="N139" s="62" t="str">
        <f>IF(LEN(M139)&gt;0,IF(OR(ISLOGICAL(M139),M139="TRUE"),"Yes",""),"")</f>
      </c>
      <c r="O139" s="59"/>
      <c r="P139" s="62" t="str">
        <f>IF(LEN(O139)&gt;0,IF(OR(ISLOGICAL(O139),O139="TRUE"),"Yes",""),"")</f>
      </c>
      <c r="Q139" s="62" t="s">
        <v>98</v>
      </c>
      <c r="R139" s="63"/>
    </row>
    <row r="140" spans="1:18" s="47" customFormat="1" ht="51">
      <c r="A140" s="63" t="s">
        <v>353</v>
      </c>
      <c r="B140" s="63" t="s">
        <v>96</v>
      </c>
      <c r="C140" s="63" t="s">
        <v>354</v>
      </c>
      <c r="D140" s="61"/>
      <c r="E140" s="45">
        <v>0.1655</v>
      </c>
      <c r="F140" s="45">
        <v>0.1655</v>
      </c>
      <c r="G140" s="66">
        <v>46085</v>
      </c>
      <c r="H140" s="45" t="str">
        <f>IF(ISNUMBER(E140),F140-E140,"N/A")</f>
        <v>N/A</v>
      </c>
      <c r="I140" s="46" t="str">
        <f>IF(E140&lt;&gt;"",IF(F140=E140,"No Change",IF(F140&gt;E140,"Increase","Decrease")),"New")</f>
        <v>Increase</v>
      </c>
      <c r="J140" s="58" t="s">
        <v>122</v>
      </c>
      <c r="K140" s="59" t="str">
        <f>IF(LEN(J140)&gt;0,IF(OR(ISLOGICAL(J140),J140="TRUE"),"Yes",""),"")</f>
      </c>
      <c r="L140" s="59"/>
      <c r="M140" s="59"/>
      <c r="N140" s="62" t="str">
        <f>IF(LEN(M140)&gt;0,IF(OR(ISLOGICAL(M140),M140="TRUE"),"Yes",""),"")</f>
      </c>
      <c r="O140" s="59"/>
      <c r="P140" s="62" t="str">
        <f>IF(LEN(O140)&gt;0,IF(OR(ISLOGICAL(O140),O140="TRUE"),"Yes",""),"")</f>
      </c>
      <c r="Q140" s="62" t="s">
        <v>98</v>
      </c>
      <c r="R140" s="63"/>
    </row>
    <row r="141" spans="1:18" s="47" customFormat="1" ht="51">
      <c r="A141" s="63" t="s">
        <v>355</v>
      </c>
      <c r="B141" s="63" t="s">
        <v>96</v>
      </c>
      <c r="C141" s="63" t="s">
        <v>356</v>
      </c>
      <c r="D141" s="61"/>
      <c r="E141" s="45">
        <v>0.1655</v>
      </c>
      <c r="F141" s="45">
        <v>0.1655</v>
      </c>
      <c r="G141" s="66">
        <v>46082</v>
      </c>
      <c r="H141" s="45" t="str">
        <f>IF(ISNUMBER(E141),F141-E141,"N/A")</f>
        <v>N/A</v>
      </c>
      <c r="I141" s="46" t="str">
        <f>IF(E141&lt;&gt;"",IF(F141=E141,"No Change",IF(F141&gt;E141,"Increase","Decrease")),"New")</f>
        <v>Increase</v>
      </c>
      <c r="J141" s="58" t="s">
        <v>122</v>
      </c>
      <c r="K141" s="59" t="str">
        <f>IF(LEN(J141)&gt;0,IF(OR(ISLOGICAL(J141),J141="TRUE"),"Yes",""),"")</f>
      </c>
      <c r="L141" s="59"/>
      <c r="M141" s="59"/>
      <c r="N141" s="62" t="str">
        <f>IF(LEN(M141)&gt;0,IF(OR(ISLOGICAL(M141),M141="TRUE"),"Yes",""),"")</f>
      </c>
      <c r="O141" s="59"/>
      <c r="P141" s="62" t="str">
        <f>IF(LEN(O141)&gt;0,IF(OR(ISLOGICAL(O141),O141="TRUE"),"Yes",""),"")</f>
      </c>
      <c r="Q141" s="62" t="s">
        <v>98</v>
      </c>
      <c r="R141" s="63"/>
    </row>
    <row r="142" spans="1:18" s="47" customFormat="1" ht="51">
      <c r="A142" s="63" t="s">
        <v>357</v>
      </c>
      <c r="B142" s="63" t="s">
        <v>96</v>
      </c>
      <c r="C142" s="63" t="s">
        <v>358</v>
      </c>
      <c r="D142" s="61"/>
      <c r="E142" s="45">
        <v>0.1655</v>
      </c>
      <c r="F142" s="45">
        <v>0.1655</v>
      </c>
      <c r="G142" s="66">
        <v>46082</v>
      </c>
      <c r="H142" s="45" t="str">
        <f>IF(ISNUMBER(E142),F142-E142,"N/A")</f>
        <v>N/A</v>
      </c>
      <c r="I142" s="46" t="str">
        <f>IF(E142&lt;&gt;"",IF(F142=E142,"No Change",IF(F142&gt;E142,"Increase","Decrease")),"New")</f>
        <v>Increase</v>
      </c>
      <c r="J142" s="58"/>
      <c r="K142" s="59" t="str">
        <f>IF(LEN(J142)&gt;0,IF(OR(ISLOGICAL(J142),J142="TRUE"),"Yes",""),"")</f>
      </c>
      <c r="L142" s="59"/>
      <c r="M142" s="59"/>
      <c r="N142" s="62" t="str">
        <f>IF(LEN(M142)&gt;0,IF(OR(ISLOGICAL(M142),M142="TRUE"),"Yes",""),"")</f>
      </c>
      <c r="O142" s="59"/>
      <c r="P142" s="62" t="str">
        <f>IF(LEN(O142)&gt;0,IF(OR(ISLOGICAL(O142),O142="TRUE"),"Yes",""),"")</f>
      </c>
      <c r="Q142" s="62" t="s">
        <v>98</v>
      </c>
      <c r="R142" s="63"/>
    </row>
    <row r="143" spans="1:18" s="47" customFormat="1" ht="51">
      <c r="A143" s="63" t="s">
        <v>359</v>
      </c>
      <c r="B143" s="63" t="s">
        <v>96</v>
      </c>
      <c r="C143" s="63" t="s">
        <v>360</v>
      </c>
      <c r="D143" s="61"/>
      <c r="E143" s="45">
        <v>0.139</v>
      </c>
      <c r="F143" s="45">
        <v>0.139</v>
      </c>
      <c r="G143" s="66">
        <v>46143</v>
      </c>
      <c r="H143" s="45" t="str">
        <f>IF(ISNUMBER(E143),F143-E143,"N/A")</f>
        <v>N/A</v>
      </c>
      <c r="I143" s="46" t="str">
        <f>IF(E143&lt;&gt;"",IF(F143=E143,"No Change",IF(F143&gt;E143,"Increase","Decrease")),"New")</f>
        <v>Increase</v>
      </c>
      <c r="J143" s="58"/>
      <c r="K143" s="59" t="str">
        <f>IF(LEN(J143)&gt;0,IF(OR(ISLOGICAL(J143),J143="TRUE"),"Yes",""),"")</f>
      </c>
      <c r="L143" s="59"/>
      <c r="M143" s="59"/>
      <c r="N143" s="62" t="str">
        <f>IF(LEN(M143)&gt;0,IF(OR(ISLOGICAL(M143),M143="TRUE"),"Yes",""),"")</f>
      </c>
      <c r="O143" s="59"/>
      <c r="P143" s="62" t="str">
        <f>IF(LEN(O143)&gt;0,IF(OR(ISLOGICAL(O143),O143="TRUE"),"Yes",""),"")</f>
      </c>
      <c r="Q143" s="62" t="s">
        <v>98</v>
      </c>
      <c r="R143" s="63"/>
    </row>
    <row r="144" spans="1:18" s="47" customFormat="1" ht="51">
      <c r="A144" s="63" t="s">
        <v>361</v>
      </c>
      <c r="B144" s="63" t="s">
        <v>96</v>
      </c>
      <c r="C144" s="63" t="s">
        <v>362</v>
      </c>
      <c r="D144" s="61"/>
      <c r="E144" s="45">
        <v>0.139</v>
      </c>
      <c r="F144" s="45">
        <v>0.139</v>
      </c>
      <c r="G144" s="66">
        <v>46143</v>
      </c>
      <c r="H144" s="45" t="str">
        <f>IF(ISNUMBER(E144),F144-E144,"N/A")</f>
        <v>N/A</v>
      </c>
      <c r="I144" s="46" t="str">
        <f>IF(E144&lt;&gt;"",IF(F144=E144,"No Change",IF(F144&gt;E144,"Increase","Decrease")),"New")</f>
        <v>Increase</v>
      </c>
      <c r="J144" s="58"/>
      <c r="K144" s="59" t="str">
        <f>IF(LEN(J144)&gt;0,IF(OR(ISLOGICAL(J144),J144="TRUE"),"Yes",""),"")</f>
      </c>
      <c r="L144" s="59"/>
      <c r="M144" s="59"/>
      <c r="N144" s="62" t="str">
        <f>IF(LEN(M144)&gt;0,IF(OR(ISLOGICAL(M144),M144="TRUE"),"Yes",""),"")</f>
      </c>
      <c r="O144" s="59"/>
      <c r="P144" s="62" t="str">
        <f>IF(LEN(O144)&gt;0,IF(OR(ISLOGICAL(O144),O144="TRUE"),"Yes",""),"")</f>
      </c>
      <c r="Q144" s="62" t="s">
        <v>98</v>
      </c>
      <c r="R144" s="63"/>
    </row>
    <row r="145" spans="1:18" s="47" customFormat="1" ht="51">
      <c r="A145" s="63" t="s">
        <v>363</v>
      </c>
      <c r="B145" s="63" t="s">
        <v>96</v>
      </c>
      <c r="C145" s="63" t="s">
        <v>364</v>
      </c>
      <c r="D145" s="61"/>
      <c r="E145" s="45">
        <v>0.139</v>
      </c>
      <c r="F145" s="45">
        <v>0.139</v>
      </c>
      <c r="G145" s="66">
        <v>46082</v>
      </c>
      <c r="H145" s="45" t="str">
        <f>IF(ISNUMBER(E145),F145-E145,"N/A")</f>
        <v>N/A</v>
      </c>
      <c r="I145" s="46" t="str">
        <f>IF(E145&lt;&gt;"",IF(F145=E145,"No Change",IF(F145&gt;E145,"Increase","Decrease")),"New")</f>
        <v>Increase</v>
      </c>
      <c r="J145" s="58"/>
      <c r="K145" s="59" t="str">
        <f>IF(LEN(J145)&gt;0,IF(OR(ISLOGICAL(J145),J145="TRUE"),"Yes",""),"")</f>
      </c>
      <c r="L145" s="59"/>
      <c r="M145" s="59"/>
      <c r="N145" s="62" t="str">
        <f>IF(LEN(M145)&gt;0,IF(OR(ISLOGICAL(M145),M145="TRUE"),"Yes",""),"")</f>
      </c>
      <c r="O145" s="59"/>
      <c r="P145" s="62" t="str">
        <f>IF(LEN(O145)&gt;0,IF(OR(ISLOGICAL(O145),O145="TRUE"),"Yes",""),"")</f>
      </c>
      <c r="Q145" s="62" t="s">
        <v>98</v>
      </c>
      <c r="R145" s="63"/>
    </row>
    <row r="146" spans="1:18" s="47" customFormat="1" ht="51">
      <c r="A146" s="63" t="s">
        <v>365</v>
      </c>
      <c r="B146" s="63" t="s">
        <v>96</v>
      </c>
      <c r="C146" s="63" t="s">
        <v>366</v>
      </c>
      <c r="D146" s="61"/>
      <c r="E146" s="45">
        <v>0.346</v>
      </c>
      <c r="F146" s="45">
        <v>0.346</v>
      </c>
      <c r="G146" s="66">
        <v>46082</v>
      </c>
      <c r="H146" s="45" t="str">
        <f>IF(ISNUMBER(E146),F146-E146,"N/A")</f>
        <v>N/A</v>
      </c>
      <c r="I146" s="46" t="str">
        <f>IF(E146&lt;&gt;"",IF(F146=E146,"No Change",IF(F146&gt;E146,"Increase","Decrease")),"New")</f>
        <v>Increase</v>
      </c>
      <c r="J146" s="58"/>
      <c r="K146" s="59" t="str">
        <f>IF(LEN(J146)&gt;0,IF(OR(ISLOGICAL(J146),J146="TRUE"),"Yes",""),"")</f>
      </c>
      <c r="L146" s="59"/>
      <c r="M146" s="59"/>
      <c r="N146" s="62" t="str">
        <f>IF(LEN(M146)&gt;0,IF(OR(ISLOGICAL(M146),M146="TRUE"),"Yes",""),"")</f>
      </c>
      <c r="O146" s="59"/>
      <c r="P146" s="62" t="str">
        <f>IF(LEN(O146)&gt;0,IF(OR(ISLOGICAL(O146),O146="TRUE"),"Yes",""),"")</f>
      </c>
      <c r="Q146" s="62" t="s">
        <v>98</v>
      </c>
      <c r="R146" s="63"/>
    </row>
    <row r="147" spans="1:18" s="47" customFormat="1" ht="51">
      <c r="A147" s="63" t="s">
        <v>367</v>
      </c>
      <c r="B147" s="63" t="s">
        <v>96</v>
      </c>
      <c r="C147" s="63" t="s">
        <v>368</v>
      </c>
      <c r="D147" s="61"/>
      <c r="E147" s="45">
        <v>0.346</v>
      </c>
      <c r="F147" s="45">
        <v>0.346</v>
      </c>
      <c r="G147" s="66">
        <v>46082</v>
      </c>
      <c r="H147" s="45" t="str">
        <f>IF(ISNUMBER(E147),F147-E147,"N/A")</f>
        <v>N/A</v>
      </c>
      <c r="I147" s="46" t="str">
        <f>IF(E147&lt;&gt;"",IF(F147=E147,"No Change",IF(F147&gt;E147,"Increase","Decrease")),"New")</f>
        <v>Increase</v>
      </c>
      <c r="J147" s="58"/>
      <c r="K147" s="59" t="str">
        <f>IF(LEN(J147)&gt;0,IF(OR(ISLOGICAL(J147),J147="TRUE"),"Yes",""),"")</f>
      </c>
      <c r="L147" s="59"/>
      <c r="M147" s="59"/>
      <c r="N147" s="62" t="str">
        <f>IF(LEN(M147)&gt;0,IF(OR(ISLOGICAL(M147),M147="TRUE"),"Yes",""),"")</f>
      </c>
      <c r="O147" s="59"/>
      <c r="P147" s="62" t="str">
        <f>IF(LEN(O147)&gt;0,IF(OR(ISLOGICAL(O147),O147="TRUE"),"Yes",""),"")</f>
      </c>
      <c r="Q147" s="62" t="s">
        <v>98</v>
      </c>
      <c r="R147" s="63"/>
    </row>
    <row r="148" spans="1:18" s="47" customFormat="1" ht="51">
      <c r="A148" s="63" t="s">
        <v>369</v>
      </c>
      <c r="B148" s="63" t="s">
        <v>96</v>
      </c>
      <c r="C148" s="63" t="s">
        <v>370</v>
      </c>
      <c r="D148" s="61"/>
      <c r="E148" s="45">
        <v>0.346</v>
      </c>
      <c r="F148" s="45">
        <v>0.346</v>
      </c>
      <c r="G148" s="66">
        <v>46082</v>
      </c>
      <c r="H148" s="45" t="str">
        <f>IF(ISNUMBER(E148),F148-E148,"N/A")</f>
        <v>N/A</v>
      </c>
      <c r="I148" s="46" t="str">
        <f>IF(E148&lt;&gt;"",IF(F148=E148,"No Change",IF(F148&gt;E148,"Increase","Decrease")),"New")</f>
        <v>Increase</v>
      </c>
      <c r="J148" s="58"/>
      <c r="K148" s="59" t="str">
        <f>IF(LEN(J148)&gt;0,IF(OR(ISLOGICAL(J148),J148="TRUE"),"Yes",""),"")</f>
      </c>
      <c r="L148" s="59"/>
      <c r="M148" s="59"/>
      <c r="N148" s="62" t="str">
        <f>IF(LEN(M148)&gt;0,IF(OR(ISLOGICAL(M148),M148="TRUE"),"Yes",""),"")</f>
      </c>
      <c r="O148" s="59"/>
      <c r="P148" s="62" t="str">
        <f>IF(LEN(O148)&gt;0,IF(OR(ISLOGICAL(O148),O148="TRUE"),"Yes",""),"")</f>
      </c>
      <c r="Q148" s="62" t="s">
        <v>98</v>
      </c>
      <c r="R148" s="63"/>
    </row>
    <row r="149" spans="1:18" s="47" customFormat="1" ht="51">
      <c r="A149" s="63" t="s">
        <v>371</v>
      </c>
      <c r="B149" s="63" t="s">
        <v>96</v>
      </c>
      <c r="C149" s="63" t="s">
        <v>372</v>
      </c>
      <c r="D149" s="61"/>
      <c r="E149" s="45">
        <v>0.139</v>
      </c>
      <c r="F149" s="45">
        <v>0.139</v>
      </c>
      <c r="G149" s="66">
        <v>46082</v>
      </c>
      <c r="H149" s="45" t="str">
        <f>IF(ISNUMBER(E149),F149-E149,"N/A")</f>
        <v>N/A</v>
      </c>
      <c r="I149" s="46" t="str">
        <f>IF(E149&lt;&gt;"",IF(F149=E149,"No Change",IF(F149&gt;E149,"Increase","Decrease")),"New")</f>
        <v>Increase</v>
      </c>
      <c r="J149" s="58"/>
      <c r="K149" s="59" t="str">
        <f>IF(LEN(J149)&gt;0,IF(OR(ISLOGICAL(J149),J149="TRUE"),"Yes",""),"")</f>
      </c>
      <c r="L149" s="59"/>
      <c r="M149" s="59"/>
      <c r="N149" s="62" t="str">
        <f>IF(LEN(M149)&gt;0,IF(OR(ISLOGICAL(M149),M149="TRUE"),"Yes",""),"")</f>
      </c>
      <c r="O149" s="59"/>
      <c r="P149" s="62" t="str">
        <f>IF(LEN(O149)&gt;0,IF(OR(ISLOGICAL(O149),O149="TRUE"),"Yes",""),"")</f>
      </c>
      <c r="Q149" s="62" t="s">
        <v>98</v>
      </c>
      <c r="R149" s="63"/>
    </row>
    <row r="150" spans="1:18" s="47" customFormat="1" ht="51">
      <c r="A150" s="63" t="s">
        <v>373</v>
      </c>
      <c r="B150" s="63" t="s">
        <v>96</v>
      </c>
      <c r="C150" s="63" t="s">
        <v>374</v>
      </c>
      <c r="D150" s="61"/>
      <c r="E150" s="45">
        <v>0.139</v>
      </c>
      <c r="F150" s="45">
        <v>0.139</v>
      </c>
      <c r="G150" s="66">
        <v>46143</v>
      </c>
      <c r="H150" s="45" t="str">
        <f>IF(ISNUMBER(E150),F150-E150,"N/A")</f>
        <v>N/A</v>
      </c>
      <c r="I150" s="46" t="str">
        <f>IF(E150&lt;&gt;"",IF(F150=E150,"No Change",IF(F150&gt;E150,"Increase","Decrease")),"New")</f>
        <v>Increase</v>
      </c>
      <c r="J150" s="58"/>
      <c r="K150" s="59" t="str">
        <f>IF(LEN(J150)&gt;0,IF(OR(ISLOGICAL(J150),J150="TRUE"),"Yes",""),"")</f>
      </c>
      <c r="L150" s="59"/>
      <c r="M150" s="59"/>
      <c r="N150" s="62" t="str">
        <f>IF(LEN(M150)&gt;0,IF(OR(ISLOGICAL(M150),M150="TRUE"),"Yes",""),"")</f>
      </c>
      <c r="O150" s="59"/>
      <c r="P150" s="62" t="str">
        <f>IF(LEN(O150)&gt;0,IF(OR(ISLOGICAL(O150),O150="TRUE"),"Yes",""),"")</f>
      </c>
      <c r="Q150" s="62" t="s">
        <v>98</v>
      </c>
      <c r="R150" s="63"/>
    </row>
    <row r="151" spans="1:18" s="47" customFormat="1" ht="51">
      <c r="A151" s="63" t="s">
        <v>375</v>
      </c>
      <c r="B151" s="63" t="s">
        <v>96</v>
      </c>
      <c r="C151" s="63" t="s">
        <v>376</v>
      </c>
      <c r="D151" s="61"/>
      <c r="E151" s="45">
        <v>0.139</v>
      </c>
      <c r="F151" s="45">
        <v>0.139</v>
      </c>
      <c r="G151" s="66">
        <v>46082</v>
      </c>
      <c r="H151" s="45" t="str">
        <f>IF(ISNUMBER(E151),F151-E151,"N/A")</f>
        <v>N/A</v>
      </c>
      <c r="I151" s="46" t="str">
        <f>IF(E151&lt;&gt;"",IF(F151=E151,"No Change",IF(F151&gt;E151,"Increase","Decrease")),"New")</f>
        <v>Increase</v>
      </c>
      <c r="J151" s="58"/>
      <c r="K151" s="59" t="str">
        <f>IF(LEN(J151)&gt;0,IF(OR(ISLOGICAL(J151),J151="TRUE"),"Yes",""),"")</f>
      </c>
      <c r="L151" s="59"/>
      <c r="M151" s="59"/>
      <c r="N151" s="62" t="str">
        <f>IF(LEN(M151)&gt;0,IF(OR(ISLOGICAL(M151),M151="TRUE"),"Yes",""),"")</f>
      </c>
      <c r="O151" s="59"/>
      <c r="P151" s="62" t="str">
        <f>IF(LEN(O151)&gt;0,IF(OR(ISLOGICAL(O151),O151="TRUE"),"Yes",""),"")</f>
      </c>
      <c r="Q151" s="62" t="s">
        <v>98</v>
      </c>
      <c r="R151" s="63"/>
    </row>
    <row r="152" spans="1:18" s="47" customFormat="1" ht="51">
      <c r="A152" s="63" t="s">
        <v>377</v>
      </c>
      <c r="B152" s="63" t="s">
        <v>96</v>
      </c>
      <c r="C152" s="63" t="s">
        <v>378</v>
      </c>
      <c r="D152" s="61"/>
      <c r="E152" s="45">
        <v>0.216</v>
      </c>
      <c r="F152" s="45">
        <v>0.216</v>
      </c>
      <c r="G152" s="66">
        <v>46143</v>
      </c>
      <c r="H152" s="45" t="str">
        <f>IF(ISNUMBER(E152),F152-E152,"N/A")</f>
        <v>N/A</v>
      </c>
      <c r="I152" s="46" t="str">
        <f>IF(E152&lt;&gt;"",IF(F152=E152,"No Change",IF(F152&gt;E152,"Increase","Decrease")),"New")</f>
        <v>Increase</v>
      </c>
      <c r="J152" s="58"/>
      <c r="K152" s="59" t="str">
        <f>IF(LEN(J152)&gt;0,IF(OR(ISLOGICAL(J152),J152="TRUE"),"Yes",""),"")</f>
      </c>
      <c r="L152" s="59"/>
      <c r="M152" s="59"/>
      <c r="N152" s="62" t="str">
        <f>IF(LEN(M152)&gt;0,IF(OR(ISLOGICAL(M152),M152="TRUE"),"Yes",""),"")</f>
      </c>
      <c r="O152" s="59"/>
      <c r="P152" s="62" t="str">
        <f>IF(LEN(O152)&gt;0,IF(OR(ISLOGICAL(O152),O152="TRUE"),"Yes",""),"")</f>
      </c>
      <c r="Q152" s="62" t="s">
        <v>98</v>
      </c>
      <c r="R152" s="63"/>
    </row>
    <row r="153" spans="1:18" s="47" customFormat="1" ht="51">
      <c r="A153" s="63" t="s">
        <v>379</v>
      </c>
      <c r="B153" s="63" t="s">
        <v>96</v>
      </c>
      <c r="C153" s="63" t="s">
        <v>380</v>
      </c>
      <c r="D153" s="61"/>
      <c r="E153" s="45">
        <v>0.191</v>
      </c>
      <c r="F153" s="45">
        <v>0.191</v>
      </c>
      <c r="G153" s="66">
        <v>46082</v>
      </c>
      <c r="H153" s="45" t="str">
        <f>IF(ISNUMBER(E153),F153-E153,"N/A")</f>
        <v>N/A</v>
      </c>
      <c r="I153" s="46" t="str">
        <f>IF(E153&lt;&gt;"",IF(F153=E153,"No Change",IF(F153&gt;E153,"Increase","Decrease")),"New")</f>
        <v>Increase</v>
      </c>
      <c r="J153" s="58"/>
      <c r="K153" s="59" t="str">
        <f>IF(LEN(J153)&gt;0,IF(OR(ISLOGICAL(J153),J153="TRUE"),"Yes",""),"")</f>
      </c>
      <c r="L153" s="59"/>
      <c r="M153" s="59"/>
      <c r="N153" s="62" t="str">
        <f>IF(LEN(M153)&gt;0,IF(OR(ISLOGICAL(M153),M153="TRUE"),"Yes",""),"")</f>
      </c>
      <c r="O153" s="59"/>
      <c r="P153" s="62" t="str">
        <f>IF(LEN(O153)&gt;0,IF(OR(ISLOGICAL(O153),O153="TRUE"),"Yes",""),"")</f>
      </c>
      <c r="Q153" s="62" t="s">
        <v>98</v>
      </c>
      <c r="R153" s="63"/>
    </row>
    <row r="154" spans="1:18" s="47" customFormat="1" ht="51">
      <c r="A154" s="63" t="s">
        <v>381</v>
      </c>
      <c r="B154" s="63" t="s">
        <v>96</v>
      </c>
      <c r="C154" s="63" t="s">
        <v>382</v>
      </c>
      <c r="D154" s="61"/>
      <c r="E154" s="45">
        <v>0.191</v>
      </c>
      <c r="F154" s="45">
        <v>0.191</v>
      </c>
      <c r="G154" s="66">
        <v>46113</v>
      </c>
      <c r="H154" s="45" t="str">
        <f>IF(ISNUMBER(E154),F154-E154,"N/A")</f>
        <v>N/A</v>
      </c>
      <c r="I154" s="46" t="str">
        <f>IF(E154&lt;&gt;"",IF(F154=E154,"No Change",IF(F154&gt;E154,"Increase","Decrease")),"New")</f>
        <v>Increase</v>
      </c>
      <c r="J154" s="58"/>
      <c r="K154" s="59" t="str">
        <f>IF(LEN(J154)&gt;0,IF(OR(ISLOGICAL(J154),J154="TRUE"),"Yes",""),"")</f>
      </c>
      <c r="L154" s="59"/>
      <c r="M154" s="59"/>
      <c r="N154" s="62" t="str">
        <f>IF(LEN(M154)&gt;0,IF(OR(ISLOGICAL(M154),M154="TRUE"),"Yes",""),"")</f>
      </c>
      <c r="O154" s="59"/>
      <c r="P154" s="62" t="str">
        <f>IF(LEN(O154)&gt;0,IF(OR(ISLOGICAL(O154),O154="TRUE"),"Yes",""),"")</f>
      </c>
      <c r="Q154" s="62" t="s">
        <v>98</v>
      </c>
      <c r="R154" s="63"/>
    </row>
    <row r="155" spans="1:18" s="47" customFormat="1" ht="51">
      <c r="A155" s="63" t="s">
        <v>383</v>
      </c>
      <c r="B155" s="63" t="s">
        <v>96</v>
      </c>
      <c r="C155" s="63" t="s">
        <v>384</v>
      </c>
      <c r="D155" s="61"/>
      <c r="E155" s="45">
        <v>0.2075</v>
      </c>
      <c r="F155" s="45">
        <v>0.2075</v>
      </c>
      <c r="G155" s="66">
        <v>46085</v>
      </c>
      <c r="H155" s="45" t="str">
        <f>IF(ISNUMBER(E155),F155-E155,"N/A")</f>
        <v>N/A</v>
      </c>
      <c r="I155" s="46" t="str">
        <f>IF(E155&lt;&gt;"",IF(F155=E155,"No Change",IF(F155&gt;E155,"Increase","Decrease")),"New")</f>
        <v>Increase</v>
      </c>
      <c r="J155" s="58" t="s">
        <v>122</v>
      </c>
      <c r="K155" s="59" t="str">
        <f>IF(LEN(J155)&gt;0,IF(OR(ISLOGICAL(J155),J155="TRUE"),"Yes",""),"")</f>
      </c>
      <c r="L155" s="59"/>
      <c r="M155" s="59"/>
      <c r="N155" s="62" t="str">
        <f>IF(LEN(M155)&gt;0,IF(OR(ISLOGICAL(M155),M155="TRUE"),"Yes",""),"")</f>
      </c>
      <c r="O155" s="59"/>
      <c r="P155" s="62" t="str">
        <f>IF(LEN(O155)&gt;0,IF(OR(ISLOGICAL(O155),O155="TRUE"),"Yes",""),"")</f>
      </c>
      <c r="Q155" s="62" t="s">
        <v>98</v>
      </c>
      <c r="R155" s="63"/>
    </row>
    <row r="156" spans="1:18" s="47" customFormat="1" ht="51">
      <c r="A156" s="63" t="s">
        <v>385</v>
      </c>
      <c r="B156" s="63" t="s">
        <v>96</v>
      </c>
      <c r="C156" s="63" t="s">
        <v>386</v>
      </c>
      <c r="D156" s="61"/>
      <c r="E156" s="45">
        <v>0.191</v>
      </c>
      <c r="F156" s="45">
        <v>0.191</v>
      </c>
      <c r="G156" s="66">
        <v>46113</v>
      </c>
      <c r="H156" s="45" t="str">
        <f>IF(ISNUMBER(E156),F156-E156,"N/A")</f>
        <v>N/A</v>
      </c>
      <c r="I156" s="46" t="str">
        <f>IF(E156&lt;&gt;"",IF(F156=E156,"No Change",IF(F156&gt;E156,"Increase","Decrease")),"New")</f>
        <v>Increase</v>
      </c>
      <c r="J156" s="58" t="s">
        <v>122</v>
      </c>
      <c r="K156" s="59" t="str">
        <f>IF(LEN(J156)&gt;0,IF(OR(ISLOGICAL(J156),J156="TRUE"),"Yes",""),"")</f>
      </c>
      <c r="L156" s="59"/>
      <c r="M156" s="59"/>
      <c r="N156" s="62" t="str">
        <f>IF(LEN(M156)&gt;0,IF(OR(ISLOGICAL(M156),M156="TRUE"),"Yes",""),"")</f>
      </c>
      <c r="O156" s="59"/>
      <c r="P156" s="62" t="str">
        <f>IF(LEN(O156)&gt;0,IF(OR(ISLOGICAL(O156),O156="TRUE"),"Yes",""),"")</f>
      </c>
      <c r="Q156" s="62" t="s">
        <v>98</v>
      </c>
      <c r="R156" s="63"/>
    </row>
    <row r="157" spans="1:18" s="47" customFormat="1" ht="51">
      <c r="A157" s="63" t="s">
        <v>387</v>
      </c>
      <c r="B157" s="63" t="s">
        <v>96</v>
      </c>
      <c r="C157" s="63" t="s">
        <v>388</v>
      </c>
      <c r="D157" s="61"/>
      <c r="E157" s="45">
        <v>0.0021</v>
      </c>
      <c r="F157" s="45">
        <v>0.0021</v>
      </c>
      <c r="G157" s="66">
        <v>46092</v>
      </c>
      <c r="H157" s="45" t="str">
        <f>IF(ISNUMBER(E157),F157-E157,"N/A")</f>
        <v>N/A</v>
      </c>
      <c r="I157" s="46" t="str">
        <f>IF(E157&lt;&gt;"",IF(F157=E157,"No Change",IF(F157&gt;E157,"Increase","Decrease")),"New")</f>
        <v>Increase</v>
      </c>
      <c r="J157" s="58"/>
      <c r="K157" s="59" t="str">
        <f>IF(LEN(J157)&gt;0,IF(OR(ISLOGICAL(J157),J157="TRUE"),"Yes",""),"")</f>
      </c>
      <c r="L157" s="59"/>
      <c r="M157" s="59"/>
      <c r="N157" s="62" t="str">
        <f>IF(LEN(M157)&gt;0,IF(OR(ISLOGICAL(M157),M157="TRUE"),"Yes",""),"")</f>
      </c>
      <c r="O157" s="59"/>
      <c r="P157" s="62" t="str">
        <f>IF(LEN(O157)&gt;0,IF(OR(ISLOGICAL(O157),O157="TRUE"),"Yes",""),"")</f>
      </c>
      <c r="Q157" s="62" t="s">
        <v>389</v>
      </c>
      <c r="R157" s="63"/>
    </row>
    <row r="158" spans="1:18" s="47" customFormat="1" ht="51">
      <c r="A158" s="63" t="s">
        <v>390</v>
      </c>
      <c r="B158" s="63" t="s">
        <v>96</v>
      </c>
      <c r="C158" s="63" t="s">
        <v>391</v>
      </c>
      <c r="D158" s="61"/>
      <c r="E158" s="45">
        <v>0.0051</v>
      </c>
      <c r="F158" s="45">
        <v>0.0051</v>
      </c>
      <c r="G158" s="66">
        <v>46082</v>
      </c>
      <c r="H158" s="45" t="str">
        <f>IF(ISNUMBER(E158),F158-E158,"N/A")</f>
        <v>N/A</v>
      </c>
      <c r="I158" s="46" t="str">
        <f>IF(E158&lt;&gt;"",IF(F158=E158,"No Change",IF(F158&gt;E158,"Increase","Decrease")),"New")</f>
        <v>Increase</v>
      </c>
      <c r="J158" s="58"/>
      <c r="K158" s="59" t="str">
        <f>IF(LEN(J158)&gt;0,IF(OR(ISLOGICAL(J158),J158="TRUE"),"Yes",""),"")</f>
      </c>
      <c r="L158" s="59"/>
      <c r="M158" s="59"/>
      <c r="N158" s="62" t="str">
        <f>IF(LEN(M158)&gt;0,IF(OR(ISLOGICAL(M158),M158="TRUE"),"Yes",""),"")</f>
      </c>
      <c r="O158" s="59"/>
      <c r="P158" s="62" t="str">
        <f>IF(LEN(O158)&gt;0,IF(OR(ISLOGICAL(O158),O158="TRUE"),"Yes",""),"")</f>
      </c>
      <c r="Q158" s="62" t="s">
        <v>389</v>
      </c>
      <c r="R158" s="63"/>
    </row>
    <row r="159" spans="1:18" s="47" customFormat="1" ht="51">
      <c r="A159" s="63" t="s">
        <v>392</v>
      </c>
      <c r="B159" s="63" t="s">
        <v>96</v>
      </c>
      <c r="C159" s="63" t="s">
        <v>393</v>
      </c>
      <c r="D159" s="61"/>
      <c r="E159" s="45">
        <v>0.0051</v>
      </c>
      <c r="F159" s="45">
        <v>0.0051</v>
      </c>
      <c r="G159" s="66">
        <v>46082</v>
      </c>
      <c r="H159" s="45" t="str">
        <f>IF(ISNUMBER(E159),F159-E159,"N/A")</f>
        <v>N/A</v>
      </c>
      <c r="I159" s="46" t="str">
        <f>IF(E159&lt;&gt;"",IF(F159=E159,"No Change",IF(F159&gt;E159,"Increase","Decrease")),"New")</f>
        <v>Increase</v>
      </c>
      <c r="J159" s="58"/>
      <c r="K159" s="59" t="str">
        <f>IF(LEN(J159)&gt;0,IF(OR(ISLOGICAL(J159),J159="TRUE"),"Yes",""),"")</f>
      </c>
      <c r="L159" s="59"/>
      <c r="M159" s="59"/>
      <c r="N159" s="62" t="str">
        <f>IF(LEN(M159)&gt;0,IF(OR(ISLOGICAL(M159),M159="TRUE"),"Yes",""),"")</f>
      </c>
      <c r="O159" s="59"/>
      <c r="P159" s="62" t="str">
        <f>IF(LEN(O159)&gt;0,IF(OR(ISLOGICAL(O159),O159="TRUE"),"Yes",""),"")</f>
      </c>
      <c r="Q159" s="62" t="s">
        <v>389</v>
      </c>
      <c r="R159" s="63"/>
    </row>
    <row r="160" spans="1:18" s="47" customFormat="1" ht="51">
      <c r="A160" s="63" t="s">
        <v>394</v>
      </c>
      <c r="B160" s="63" t="s">
        <v>96</v>
      </c>
      <c r="C160" s="63" t="s">
        <v>395</v>
      </c>
      <c r="D160" s="61"/>
      <c r="E160" s="45">
        <v>0.0051</v>
      </c>
      <c r="F160" s="45">
        <v>0.0051</v>
      </c>
      <c r="G160" s="66">
        <v>46082</v>
      </c>
      <c r="H160" s="45" t="str">
        <f>IF(ISNUMBER(E160),F160-E160,"N/A")</f>
        <v>N/A</v>
      </c>
      <c r="I160" s="46" t="str">
        <f>IF(E160&lt;&gt;"",IF(F160=E160,"No Change",IF(F160&gt;E160,"Increase","Decrease")),"New")</f>
        <v>Increase</v>
      </c>
      <c r="J160" s="58"/>
      <c r="K160" s="59" t="str">
        <f>IF(LEN(J160)&gt;0,IF(OR(ISLOGICAL(J160),J160="TRUE"),"Yes",""),"")</f>
      </c>
      <c r="L160" s="59"/>
      <c r="M160" s="59"/>
      <c r="N160" s="62" t="str">
        <f>IF(LEN(M160)&gt;0,IF(OR(ISLOGICAL(M160),M160="TRUE"),"Yes",""),"")</f>
      </c>
      <c r="O160" s="59"/>
      <c r="P160" s="62" t="str">
        <f>IF(LEN(O160)&gt;0,IF(OR(ISLOGICAL(O160),O160="TRUE"),"Yes",""),"")</f>
      </c>
      <c r="Q160" s="62" t="s">
        <v>389</v>
      </c>
      <c r="R160" s="63"/>
    </row>
    <row r="161" spans="1:18" s="47" customFormat="1" ht="51">
      <c r="A161" s="63" t="s">
        <v>396</v>
      </c>
      <c r="B161" s="63" t="s">
        <v>96</v>
      </c>
      <c r="C161" s="63" t="s">
        <v>397</v>
      </c>
      <c r="D161" s="61"/>
      <c r="E161" s="45">
        <v>0.0051</v>
      </c>
      <c r="F161" s="45">
        <v>0.0051</v>
      </c>
      <c r="G161" s="66">
        <v>46082</v>
      </c>
      <c r="H161" s="45" t="str">
        <f>IF(ISNUMBER(E161),F161-E161,"N/A")</f>
        <v>N/A</v>
      </c>
      <c r="I161" s="46" t="str">
        <f>IF(E161&lt;&gt;"",IF(F161=E161,"No Change",IF(F161&gt;E161,"Increase","Decrease")),"New")</f>
        <v>Increase</v>
      </c>
      <c r="J161" s="58"/>
      <c r="K161" s="59" t="str">
        <f>IF(LEN(J161)&gt;0,IF(OR(ISLOGICAL(J161),J161="TRUE"),"Yes",""),"")</f>
      </c>
      <c r="L161" s="59"/>
      <c r="M161" s="59"/>
      <c r="N161" s="62" t="str">
        <f>IF(LEN(M161)&gt;0,IF(OR(ISLOGICAL(M161),M161="TRUE"),"Yes",""),"")</f>
      </c>
      <c r="O161" s="59"/>
      <c r="P161" s="62" t="str">
        <f>IF(LEN(O161)&gt;0,IF(OR(ISLOGICAL(O161),O161="TRUE"),"Yes",""),"")</f>
      </c>
      <c r="Q161" s="62" t="s">
        <v>389</v>
      </c>
      <c r="R161" s="63"/>
    </row>
    <row r="162" spans="1:18" s="47" customFormat="1" ht="51">
      <c r="A162" s="63" t="s">
        <v>398</v>
      </c>
      <c r="B162" s="63" t="s">
        <v>96</v>
      </c>
      <c r="C162" s="63" t="s">
        <v>399</v>
      </c>
      <c r="D162" s="61"/>
      <c r="E162" s="45">
        <v>0.0051</v>
      </c>
      <c r="F162" s="45">
        <v>0.0051</v>
      </c>
      <c r="G162" s="66">
        <v>46082</v>
      </c>
      <c r="H162" s="45" t="str">
        <f>IF(ISNUMBER(E162),F162-E162,"N/A")</f>
        <v>N/A</v>
      </c>
      <c r="I162" s="46" t="str">
        <f>IF(E162&lt;&gt;"",IF(F162=E162,"No Change",IF(F162&gt;E162,"Increase","Decrease")),"New")</f>
        <v>Increase</v>
      </c>
      <c r="J162" s="58"/>
      <c r="K162" s="59" t="str">
        <f>IF(LEN(J162)&gt;0,IF(OR(ISLOGICAL(J162),J162="TRUE"),"Yes",""),"")</f>
      </c>
      <c r="L162" s="59"/>
      <c r="M162" s="59"/>
      <c r="N162" s="62" t="str">
        <f>IF(LEN(M162)&gt;0,IF(OR(ISLOGICAL(M162),M162="TRUE"),"Yes",""),"")</f>
      </c>
      <c r="O162" s="59"/>
      <c r="P162" s="62" t="str">
        <f>IF(LEN(O162)&gt;0,IF(OR(ISLOGICAL(O162),O162="TRUE"),"Yes",""),"")</f>
      </c>
      <c r="Q162" s="62" t="s">
        <v>389</v>
      </c>
      <c r="R162" s="63"/>
    </row>
    <row r="163" spans="1:18" s="47" customFormat="1" ht="51">
      <c r="A163" s="63" t="s">
        <v>400</v>
      </c>
      <c r="B163" s="63" t="s">
        <v>96</v>
      </c>
      <c r="C163" s="63" t="s">
        <v>401</v>
      </c>
      <c r="D163" s="61"/>
      <c r="E163" s="45">
        <v>0.0013</v>
      </c>
      <c r="F163" s="45">
        <v>0.0013</v>
      </c>
      <c r="G163" s="66">
        <v>46092</v>
      </c>
      <c r="H163" s="45" t="str">
        <f>IF(ISNUMBER(E163),F163-E163,"N/A")</f>
        <v>N/A</v>
      </c>
      <c r="I163" s="46" t="str">
        <f>IF(E163&lt;&gt;"",IF(F163=E163,"No Change",IF(F163&gt;E163,"Increase","Decrease")),"New")</f>
        <v>Increase</v>
      </c>
      <c r="J163" s="58"/>
      <c r="K163" s="59" t="str">
        <f>IF(LEN(J163)&gt;0,IF(OR(ISLOGICAL(J163),J163="TRUE"),"Yes",""),"")</f>
      </c>
      <c r="L163" s="59"/>
      <c r="M163" s="59"/>
      <c r="N163" s="62" t="str">
        <f>IF(LEN(M163)&gt;0,IF(OR(ISLOGICAL(M163),M163="TRUE"),"Yes",""),"")</f>
      </c>
      <c r="O163" s="59"/>
      <c r="P163" s="62" t="str">
        <f>IF(LEN(O163)&gt;0,IF(OR(ISLOGICAL(O163),O163="TRUE"),"Yes",""),"")</f>
      </c>
      <c r="Q163" s="62" t="s">
        <v>389</v>
      </c>
      <c r="R163" s="63"/>
    </row>
    <row r="164" spans="1:18" s="47" customFormat="1" ht="51">
      <c r="A164" s="63" t="s">
        <v>402</v>
      </c>
      <c r="B164" s="63" t="s">
        <v>96</v>
      </c>
      <c r="C164" s="63" t="s">
        <v>403</v>
      </c>
      <c r="D164" s="61"/>
      <c r="E164" s="45">
        <v>0.0019</v>
      </c>
      <c r="F164" s="45">
        <v>0.0019</v>
      </c>
      <c r="G164" s="66">
        <v>46092</v>
      </c>
      <c r="H164" s="45" t="str">
        <f>IF(ISNUMBER(E164),F164-E164,"N/A")</f>
        <v>N/A</v>
      </c>
      <c r="I164" s="46" t="str">
        <f>IF(E164&lt;&gt;"",IF(F164=E164,"No Change",IF(F164&gt;E164,"Increase","Decrease")),"New")</f>
        <v>Increase</v>
      </c>
      <c r="J164" s="58"/>
      <c r="K164" s="59" t="str">
        <f>IF(LEN(J164)&gt;0,IF(OR(ISLOGICAL(J164),J164="TRUE"),"Yes",""),"")</f>
      </c>
      <c r="L164" s="59"/>
      <c r="M164" s="59"/>
      <c r="N164" s="62" t="str">
        <f>IF(LEN(M164)&gt;0,IF(OR(ISLOGICAL(M164),M164="TRUE"),"Yes",""),"")</f>
      </c>
      <c r="O164" s="59"/>
      <c r="P164" s="62" t="str">
        <f>IF(LEN(O164)&gt;0,IF(OR(ISLOGICAL(O164),O164="TRUE"),"Yes",""),"")</f>
      </c>
      <c r="Q164" s="62" t="s">
        <v>389</v>
      </c>
      <c r="R164" s="63"/>
    </row>
    <row r="165" spans="1:18" s="47" customFormat="1" ht="51">
      <c r="A165" s="63" t="s">
        <v>404</v>
      </c>
      <c r="B165" s="63" t="s">
        <v>96</v>
      </c>
      <c r="C165" s="63" t="s">
        <v>405</v>
      </c>
      <c r="D165" s="61"/>
      <c r="E165" s="45">
        <v>0.195</v>
      </c>
      <c r="F165" s="45">
        <v>0.195</v>
      </c>
      <c r="G165" s="66">
        <v>46074</v>
      </c>
      <c r="H165" s="45" t="str">
        <f>IF(ISNUMBER(E165),F165-E165,"N/A")</f>
        <v>N/A</v>
      </c>
      <c r="I165" s="46" t="str">
        <f>IF(E165&lt;&gt;"",IF(F165=E165,"No Change",IF(F165&gt;E165,"Increase","Decrease")),"New")</f>
        <v>Increase</v>
      </c>
      <c r="J165" s="58"/>
      <c r="K165" s="59" t="str">
        <f>IF(LEN(J165)&gt;0,IF(OR(ISLOGICAL(J165),J165="TRUE"),"Yes",""),"")</f>
      </c>
      <c r="L165" s="59"/>
      <c r="M165" s="59"/>
      <c r="N165" s="62" t="str">
        <f>IF(LEN(M165)&gt;0,IF(OR(ISLOGICAL(M165),M165="TRUE"),"Yes",""),"")</f>
      </c>
      <c r="O165" s="59"/>
      <c r="P165" s="62" t="str">
        <f>IF(LEN(O165)&gt;0,IF(OR(ISLOGICAL(O165),O165="TRUE"),"Yes",""),"")</f>
      </c>
      <c r="Q165" s="62" t="s">
        <v>98</v>
      </c>
      <c r="R165" s="63"/>
    </row>
    <row r="166" spans="1:18" s="47" customFormat="1" ht="51">
      <c r="A166" s="63" t="s">
        <v>406</v>
      </c>
      <c r="B166" s="63" t="s">
        <v>96</v>
      </c>
      <c r="C166" s="63" t="s">
        <v>407</v>
      </c>
      <c r="D166" s="61"/>
      <c r="E166" s="45">
        <v>0.195</v>
      </c>
      <c r="F166" s="45">
        <v>0.195</v>
      </c>
      <c r="G166" s="66">
        <v>46082</v>
      </c>
      <c r="H166" s="45" t="str">
        <f>IF(ISNUMBER(E166),F166-E166,"N/A")</f>
        <v>N/A</v>
      </c>
      <c r="I166" s="46" t="str">
        <f>IF(E166&lt;&gt;"",IF(F166=E166,"No Change",IF(F166&gt;E166,"Increase","Decrease")),"New")</f>
        <v>Increase</v>
      </c>
      <c r="J166" s="58"/>
      <c r="K166" s="59" t="str">
        <f>IF(LEN(J166)&gt;0,IF(OR(ISLOGICAL(J166),J166="TRUE"),"Yes",""),"")</f>
      </c>
      <c r="L166" s="59"/>
      <c r="M166" s="59"/>
      <c r="N166" s="62" t="str">
        <f>IF(LEN(M166)&gt;0,IF(OR(ISLOGICAL(M166),M166="TRUE"),"Yes",""),"")</f>
      </c>
      <c r="O166" s="59"/>
      <c r="P166" s="62" t="str">
        <f>IF(LEN(O166)&gt;0,IF(OR(ISLOGICAL(O166),O166="TRUE"),"Yes",""),"")</f>
      </c>
      <c r="Q166" s="62" t="s">
        <v>98</v>
      </c>
      <c r="R166" s="63"/>
    </row>
    <row r="167" spans="1:18" s="47" customFormat="1" ht="51">
      <c r="A167" s="63" t="s">
        <v>408</v>
      </c>
      <c r="B167" s="63" t="s">
        <v>96</v>
      </c>
      <c r="C167" s="63" t="s">
        <v>409</v>
      </c>
      <c r="D167" s="61"/>
      <c r="E167" s="45">
        <v>0.195</v>
      </c>
      <c r="F167" s="45">
        <v>0.195</v>
      </c>
      <c r="G167" s="66">
        <v>46082</v>
      </c>
      <c r="H167" s="45" t="str">
        <f>IF(ISNUMBER(E167),F167-E167,"N/A")</f>
        <v>N/A</v>
      </c>
      <c r="I167" s="46" t="str">
        <f>IF(E167&lt;&gt;"",IF(F167=E167,"No Change",IF(F167&gt;E167,"Increase","Decrease")),"New")</f>
        <v>Increase</v>
      </c>
      <c r="J167" s="58"/>
      <c r="K167" s="59" t="str">
        <f>IF(LEN(J167)&gt;0,IF(OR(ISLOGICAL(J167),J167="TRUE"),"Yes",""),"")</f>
      </c>
      <c r="L167" s="59"/>
      <c r="M167" s="59"/>
      <c r="N167" s="62" t="str">
        <f>IF(LEN(M167)&gt;0,IF(OR(ISLOGICAL(M167),M167="TRUE"),"Yes",""),"")</f>
      </c>
      <c r="O167" s="59"/>
      <c r="P167" s="62" t="str">
        <f>IF(LEN(O167)&gt;0,IF(OR(ISLOGICAL(O167),O167="TRUE"),"Yes",""),"")</f>
      </c>
      <c r="Q167" s="62" t="s">
        <v>98</v>
      </c>
      <c r="R167" s="63"/>
    </row>
    <row r="168" spans="1:18" s="47" customFormat="1" ht="51">
      <c r="A168" s="63" t="s">
        <v>410</v>
      </c>
      <c r="B168" s="63" t="s">
        <v>96</v>
      </c>
      <c r="C168" s="63" t="s">
        <v>411</v>
      </c>
      <c r="D168" s="61"/>
      <c r="E168" s="45">
        <v>0.5</v>
      </c>
      <c r="F168" s="45">
        <v>0.5</v>
      </c>
      <c r="G168" s="66">
        <v>45987</v>
      </c>
      <c r="H168" s="45" t="str">
        <f>IF(ISNUMBER(E168),F168-E168,"N/A")</f>
        <v>N/A</v>
      </c>
      <c r="I168" s="46" t="str">
        <f>IF(E168&lt;&gt;"",IF(F168=E168,"No Change",IF(F168&gt;E168,"Increase","Decrease")),"New")</f>
        <v>Increase</v>
      </c>
      <c r="J168" s="58"/>
      <c r="K168" s="59" t="str">
        <f>IF(LEN(J168)&gt;0,IF(OR(ISLOGICAL(J168),J168="TRUE"),"Yes",""),"")</f>
      </c>
      <c r="L168" s="59"/>
      <c r="M168" s="59"/>
      <c r="N168" s="62" t="str">
        <f>IF(LEN(M168)&gt;0,IF(OR(ISLOGICAL(M168),M168="TRUE"),"Yes",""),"")</f>
      </c>
      <c r="O168" s="59"/>
      <c r="P168" s="62" t="str">
        <f>IF(LEN(O168)&gt;0,IF(OR(ISLOGICAL(O168),O168="TRUE"),"Yes",""),"")</f>
      </c>
      <c r="Q168" s="62" t="s">
        <v>104</v>
      </c>
      <c r="R168" s="63"/>
    </row>
    <row r="169" spans="1:18" s="47" customFormat="1" ht="51">
      <c r="A169" s="63" t="s">
        <v>412</v>
      </c>
      <c r="B169" s="63" t="s">
        <v>96</v>
      </c>
      <c r="C169" s="63" t="s">
        <v>413</v>
      </c>
      <c r="D169" s="61"/>
      <c r="E169" s="45">
        <v>0.5</v>
      </c>
      <c r="F169" s="45">
        <v>0.5</v>
      </c>
      <c r="G169" s="66">
        <v>45987</v>
      </c>
      <c r="H169" s="45" t="str">
        <f>IF(ISNUMBER(E169),F169-E169,"N/A")</f>
        <v>N/A</v>
      </c>
      <c r="I169" s="46" t="str">
        <f>IF(E169&lt;&gt;"",IF(F169=E169,"No Change",IF(F169&gt;E169,"Increase","Decrease")),"New")</f>
        <v>Increase</v>
      </c>
      <c r="J169" s="58" t="s">
        <v>122</v>
      </c>
      <c r="K169" s="59" t="str">
        <f>IF(LEN(J169)&gt;0,IF(OR(ISLOGICAL(J169),J169="TRUE"),"Yes",""),"")</f>
      </c>
      <c r="L169" s="59"/>
      <c r="M169" s="59"/>
      <c r="N169" s="62" t="str">
        <f>IF(LEN(M169)&gt;0,IF(OR(ISLOGICAL(M169),M169="TRUE"),"Yes",""),"")</f>
      </c>
      <c r="O169" s="59"/>
      <c r="P169" s="62" t="str">
        <f>IF(LEN(O169)&gt;0,IF(OR(ISLOGICAL(O169),O169="TRUE"),"Yes",""),"")</f>
      </c>
      <c r="Q169" s="62" t="s">
        <v>104</v>
      </c>
      <c r="R169" s="63"/>
    </row>
    <row r="170" spans="1:18" s="47" customFormat="1" ht="51">
      <c r="A170" s="63" t="s">
        <v>414</v>
      </c>
      <c r="B170" s="63" t="s">
        <v>96</v>
      </c>
      <c r="C170" s="63" t="s">
        <v>415</v>
      </c>
      <c r="D170" s="61"/>
      <c r="E170" s="45">
        <v>0.073</v>
      </c>
      <c r="F170" s="45">
        <v>0.073</v>
      </c>
      <c r="G170" s="66">
        <v>46092</v>
      </c>
      <c r="H170" s="45" t="str">
        <f>IF(ISNUMBER(E170),F170-E170,"N/A")</f>
        <v>N/A</v>
      </c>
      <c r="I170" s="46" t="str">
        <f>IF(E170&lt;&gt;"",IF(F170=E170,"No Change",IF(F170&gt;E170,"Increase","Decrease")),"New")</f>
        <v>Increase</v>
      </c>
      <c r="J170" s="58"/>
      <c r="K170" s="59" t="str">
        <f>IF(LEN(J170)&gt;0,IF(OR(ISLOGICAL(J170),J170="TRUE"),"Yes",""),"")</f>
      </c>
      <c r="L170" s="59"/>
      <c r="M170" s="59"/>
      <c r="N170" s="62" t="str">
        <f>IF(LEN(M170)&gt;0,IF(OR(ISLOGICAL(M170),M170="TRUE"),"Yes",""),"")</f>
      </c>
      <c r="O170" s="59"/>
      <c r="P170" s="62" t="str">
        <f>IF(LEN(O170)&gt;0,IF(OR(ISLOGICAL(O170),O170="TRUE"),"Yes",""),"")</f>
      </c>
      <c r="Q170" s="62" t="s">
        <v>98</v>
      </c>
      <c r="R170" s="63"/>
    </row>
    <row r="171" spans="1:18" s="47" customFormat="1" ht="51">
      <c r="A171" s="63" t="s">
        <v>416</v>
      </c>
      <c r="B171" s="63" t="s">
        <v>96</v>
      </c>
      <c r="C171" s="63" t="s">
        <v>417</v>
      </c>
      <c r="D171" s="61"/>
      <c r="E171" s="45">
        <v>0.225</v>
      </c>
      <c r="F171" s="45">
        <v>0.225</v>
      </c>
      <c r="G171" s="66">
        <v>46082</v>
      </c>
      <c r="H171" s="45" t="str">
        <f>IF(ISNUMBER(E171),F171-E171,"N/A")</f>
        <v>N/A</v>
      </c>
      <c r="I171" s="46" t="str">
        <f>IF(E171&lt;&gt;"",IF(F171=E171,"No Change",IF(F171&gt;E171,"Increase","Decrease")),"New")</f>
        <v>Increase</v>
      </c>
      <c r="J171" s="58" t="s">
        <v>122</v>
      </c>
      <c r="K171" s="59" t="str">
        <f>IF(LEN(J171)&gt;0,IF(OR(ISLOGICAL(J171),J171="TRUE"),"Yes",""),"")</f>
      </c>
      <c r="L171" s="59"/>
      <c r="M171" s="59"/>
      <c r="N171" s="62" t="str">
        <f>IF(LEN(M171)&gt;0,IF(OR(ISLOGICAL(M171),M171="TRUE"),"Yes",""),"")</f>
      </c>
      <c r="O171" s="59"/>
      <c r="P171" s="62" t="str">
        <f>IF(LEN(O171)&gt;0,IF(OR(ISLOGICAL(O171),O171="TRUE"),"Yes",""),"")</f>
      </c>
      <c r="Q171" s="62" t="s">
        <v>98</v>
      </c>
      <c r="R171" s="63"/>
    </row>
    <row r="172" spans="1:18" s="47" customFormat="1" ht="51">
      <c r="A172" s="63" t="s">
        <v>418</v>
      </c>
      <c r="B172" s="63" t="s">
        <v>96</v>
      </c>
      <c r="C172" s="63" t="s">
        <v>419</v>
      </c>
      <c r="D172" s="61"/>
      <c r="E172" s="45">
        <v>0.225</v>
      </c>
      <c r="F172" s="45">
        <v>0.225</v>
      </c>
      <c r="G172" s="66">
        <v>46082</v>
      </c>
      <c r="H172" s="45" t="str">
        <f>IF(ISNUMBER(E172),F172-E172,"N/A")</f>
        <v>N/A</v>
      </c>
      <c r="I172" s="46" t="str">
        <f>IF(E172&lt;&gt;"",IF(F172=E172,"No Change",IF(F172&gt;E172,"Increase","Decrease")),"New")</f>
        <v>Increase</v>
      </c>
      <c r="J172" s="58" t="s">
        <v>122</v>
      </c>
      <c r="K172" s="59" t="str">
        <f>IF(LEN(J172)&gt;0,IF(OR(ISLOGICAL(J172),J172="TRUE"),"Yes",""),"")</f>
      </c>
      <c r="L172" s="59"/>
      <c r="M172" s="59"/>
      <c r="N172" s="62" t="str">
        <f>IF(LEN(M172)&gt;0,IF(OR(ISLOGICAL(M172),M172="TRUE"),"Yes",""),"")</f>
      </c>
      <c r="O172" s="59"/>
      <c r="P172" s="62" t="str">
        <f>IF(LEN(O172)&gt;0,IF(OR(ISLOGICAL(O172),O172="TRUE"),"Yes",""),"")</f>
      </c>
      <c r="Q172" s="62" t="s">
        <v>98</v>
      </c>
      <c r="R172" s="63"/>
    </row>
    <row r="173" spans="1:18" s="47" customFormat="1" ht="51">
      <c r="A173" s="63" t="s">
        <v>420</v>
      </c>
      <c r="B173" s="63" t="s">
        <v>96</v>
      </c>
      <c r="C173" s="63" t="s">
        <v>421</v>
      </c>
      <c r="D173" s="61"/>
      <c r="E173" s="45">
        <v>0.3</v>
      </c>
      <c r="F173" s="45">
        <v>0.3</v>
      </c>
      <c r="G173" s="66">
        <v>46082</v>
      </c>
      <c r="H173" s="45" t="str">
        <f>IF(ISNUMBER(E173),F173-E173,"N/A")</f>
        <v>N/A</v>
      </c>
      <c r="I173" s="46" t="str">
        <f>IF(E173&lt;&gt;"",IF(F173=E173,"No Change",IF(F173&gt;E173,"Increase","Decrease")),"New")</f>
        <v>Increase</v>
      </c>
      <c r="J173" s="58" t="s">
        <v>122</v>
      </c>
      <c r="K173" s="59" t="str">
        <f>IF(LEN(J173)&gt;0,IF(OR(ISLOGICAL(J173),J173="TRUE"),"Yes",""),"")</f>
      </c>
      <c r="L173" s="59"/>
      <c r="M173" s="59"/>
      <c r="N173" s="62" t="str">
        <f>IF(LEN(M173)&gt;0,IF(OR(ISLOGICAL(M173),M173="TRUE"),"Yes",""),"")</f>
      </c>
      <c r="O173" s="59"/>
      <c r="P173" s="62" t="str">
        <f>IF(LEN(O173)&gt;0,IF(OR(ISLOGICAL(O173),O173="TRUE"),"Yes",""),"")</f>
      </c>
      <c r="Q173" s="62" t="s">
        <v>98</v>
      </c>
      <c r="R173" s="63"/>
    </row>
    <row r="174" spans="1:18" s="47" customFormat="1" ht="51">
      <c r="A174" s="63" t="s">
        <v>422</v>
      </c>
      <c r="B174" s="63" t="s">
        <v>96</v>
      </c>
      <c r="C174" s="63" t="s">
        <v>423</v>
      </c>
      <c r="D174" s="61"/>
      <c r="E174" s="45">
        <v>0.073</v>
      </c>
      <c r="F174" s="45">
        <v>0.073</v>
      </c>
      <c r="G174" s="66">
        <v>46082</v>
      </c>
      <c r="H174" s="45" t="str">
        <f>IF(ISNUMBER(E174),F174-E174,"N/A")</f>
        <v>N/A</v>
      </c>
      <c r="I174" s="46" t="str">
        <f>IF(E174&lt;&gt;"",IF(F174=E174,"No Change",IF(F174&gt;E174,"Increase","Decrease")),"New")</f>
        <v>Increase</v>
      </c>
      <c r="J174" s="58"/>
      <c r="K174" s="59" t="str">
        <f>IF(LEN(J174)&gt;0,IF(OR(ISLOGICAL(J174),J174="TRUE"),"Yes",""),"")</f>
      </c>
      <c r="L174" s="59"/>
      <c r="M174" s="59"/>
      <c r="N174" s="62" t="str">
        <f>IF(LEN(M174)&gt;0,IF(OR(ISLOGICAL(M174),M174="TRUE"),"Yes",""),"")</f>
      </c>
      <c r="O174" s="59"/>
      <c r="P174" s="62" t="str">
        <f>IF(LEN(O174)&gt;0,IF(OR(ISLOGICAL(O174),O174="TRUE"),"Yes",""),"")</f>
      </c>
      <c r="Q174" s="62" t="s">
        <v>98</v>
      </c>
      <c r="R174" s="63"/>
    </row>
    <row r="175" spans="1:18" s="47" customFormat="1" ht="51">
      <c r="A175" s="63" t="s">
        <v>424</v>
      </c>
      <c r="B175" s="63" t="s">
        <v>96</v>
      </c>
      <c r="C175" s="63" t="s">
        <v>425</v>
      </c>
      <c r="D175" s="61"/>
      <c r="E175" s="45">
        <v>0.073</v>
      </c>
      <c r="F175" s="45">
        <v>0.073</v>
      </c>
      <c r="G175" s="66">
        <v>46082</v>
      </c>
      <c r="H175" s="45" t="str">
        <f>IF(ISNUMBER(E175),F175-E175,"N/A")</f>
        <v>N/A</v>
      </c>
      <c r="I175" s="46" t="str">
        <f>IF(E175&lt;&gt;"",IF(F175=E175,"No Change",IF(F175&gt;E175,"Increase","Decrease")),"New")</f>
        <v>Increase</v>
      </c>
      <c r="J175" s="58"/>
      <c r="K175" s="59" t="str">
        <f>IF(LEN(J175)&gt;0,IF(OR(ISLOGICAL(J175),J175="TRUE"),"Yes",""),"")</f>
      </c>
      <c r="L175" s="59"/>
      <c r="M175" s="59"/>
      <c r="N175" s="62" t="str">
        <f>IF(LEN(M175)&gt;0,IF(OR(ISLOGICAL(M175),M175="TRUE"),"Yes",""),"")</f>
      </c>
      <c r="O175" s="59"/>
      <c r="P175" s="62" t="str">
        <f>IF(LEN(O175)&gt;0,IF(OR(ISLOGICAL(O175),O175="TRUE"),"Yes",""),"")</f>
      </c>
      <c r="Q175" s="62" t="s">
        <v>98</v>
      </c>
      <c r="R175" s="63"/>
    </row>
    <row r="176" spans="1:18" s="47" customFormat="1" ht="51">
      <c r="A176" s="63" t="s">
        <v>426</v>
      </c>
      <c r="B176" s="63" t="s">
        <v>96</v>
      </c>
      <c r="C176" s="63" t="s">
        <v>427</v>
      </c>
      <c r="D176" s="61"/>
      <c r="E176" s="45">
        <v>0.365</v>
      </c>
      <c r="F176" s="45">
        <v>0.365</v>
      </c>
      <c r="G176" s="66">
        <v>46085</v>
      </c>
      <c r="H176" s="45" t="str">
        <f>IF(ISNUMBER(E176),F176-E176,"N/A")</f>
        <v>N/A</v>
      </c>
      <c r="I176" s="46" t="str">
        <f>IF(E176&lt;&gt;"",IF(F176=E176,"No Change",IF(F176&gt;E176,"Increase","Decrease")),"New")</f>
        <v>Increase</v>
      </c>
      <c r="J176" s="58"/>
      <c r="K176" s="59" t="str">
        <f>IF(LEN(J176)&gt;0,IF(OR(ISLOGICAL(J176),J176="TRUE"),"Yes",""),"")</f>
      </c>
      <c r="L176" s="59"/>
      <c r="M176" s="59"/>
      <c r="N176" s="62" t="str">
        <f>IF(LEN(M176)&gt;0,IF(OR(ISLOGICAL(M176),M176="TRUE"),"Yes",""),"")</f>
      </c>
      <c r="O176" s="59"/>
      <c r="P176" s="62" t="str">
        <f>IF(LEN(O176)&gt;0,IF(OR(ISLOGICAL(O176),O176="TRUE"),"Yes",""),"")</f>
      </c>
      <c r="Q176" s="62" t="s">
        <v>98</v>
      </c>
      <c r="R176" s="63"/>
    </row>
    <row r="177" spans="1:18" s="47" customFormat="1" ht="51">
      <c r="A177" s="63" t="s">
        <v>428</v>
      </c>
      <c r="B177" s="63" t="s">
        <v>96</v>
      </c>
      <c r="C177" s="63" t="s">
        <v>429</v>
      </c>
      <c r="D177" s="61"/>
      <c r="E177" s="45">
        <v>0.365</v>
      </c>
      <c r="F177" s="45">
        <v>0.365</v>
      </c>
      <c r="G177" s="66">
        <v>46082</v>
      </c>
      <c r="H177" s="45" t="str">
        <f>IF(ISNUMBER(E177),F177-E177,"N/A")</f>
        <v>N/A</v>
      </c>
      <c r="I177" s="46" t="str">
        <f>IF(E177&lt;&gt;"",IF(F177=E177,"No Change",IF(F177&gt;E177,"Increase","Decrease")),"New")</f>
        <v>Increase</v>
      </c>
      <c r="J177" s="58"/>
      <c r="K177" s="59" t="str">
        <f>IF(LEN(J177)&gt;0,IF(OR(ISLOGICAL(J177),J177="TRUE"),"Yes",""),"")</f>
      </c>
      <c r="L177" s="59"/>
      <c r="M177" s="59"/>
      <c r="N177" s="62" t="str">
        <f>IF(LEN(M177)&gt;0,IF(OR(ISLOGICAL(M177),M177="TRUE"),"Yes",""),"")</f>
      </c>
      <c r="O177" s="59"/>
      <c r="P177" s="62" t="str">
        <f>IF(LEN(O177)&gt;0,IF(OR(ISLOGICAL(O177),O177="TRUE"),"Yes",""),"")</f>
      </c>
      <c r="Q177" s="62" t="s">
        <v>98</v>
      </c>
      <c r="R177" s="63"/>
    </row>
    <row r="178" spans="1:18" s="47" customFormat="1" ht="51">
      <c r="A178" s="63" t="s">
        <v>430</v>
      </c>
      <c r="B178" s="63" t="s">
        <v>96</v>
      </c>
      <c r="C178" s="63" t="s">
        <v>431</v>
      </c>
      <c r="D178" s="61"/>
      <c r="E178" s="45">
        <v>0.348</v>
      </c>
      <c r="F178" s="45">
        <v>0.348</v>
      </c>
      <c r="G178" s="66">
        <v>46078</v>
      </c>
      <c r="H178" s="45" t="str">
        <f>IF(ISNUMBER(E178),F178-E178,"N/A")</f>
        <v>N/A</v>
      </c>
      <c r="I178" s="46" t="str">
        <f>IF(E178&lt;&gt;"",IF(F178=E178,"No Change",IF(F178&gt;E178,"Increase","Decrease")),"New")</f>
        <v>Increase</v>
      </c>
      <c r="J178" s="58" t="s">
        <v>122</v>
      </c>
      <c r="K178" s="59" t="str">
        <f>IF(LEN(J178)&gt;0,IF(OR(ISLOGICAL(J178),J178="TRUE"),"Yes",""),"")</f>
      </c>
      <c r="L178" s="59"/>
      <c r="M178" s="59"/>
      <c r="N178" s="62" t="str">
        <f>IF(LEN(M178)&gt;0,IF(OR(ISLOGICAL(M178),M178="TRUE"),"Yes",""),"")</f>
      </c>
      <c r="O178" s="59"/>
      <c r="P178" s="62" t="str">
        <f>IF(LEN(O178)&gt;0,IF(OR(ISLOGICAL(O178),O178="TRUE"),"Yes",""),"")</f>
      </c>
      <c r="Q178" s="62" t="s">
        <v>98</v>
      </c>
      <c r="R178" s="63"/>
    </row>
    <row r="179" spans="1:18" s="47" customFormat="1" ht="51">
      <c r="A179" s="63" t="s">
        <v>432</v>
      </c>
      <c r="B179" s="63" t="s">
        <v>96</v>
      </c>
      <c r="C179" s="63" t="s">
        <v>433</v>
      </c>
      <c r="D179" s="61"/>
      <c r="E179" s="45">
        <v>0.34</v>
      </c>
      <c r="F179" s="45">
        <v>0.34</v>
      </c>
      <c r="G179" s="66">
        <v>46078</v>
      </c>
      <c r="H179" s="45" t="str">
        <f>IF(ISNUMBER(E179),F179-E179,"N/A")</f>
        <v>N/A</v>
      </c>
      <c r="I179" s="46" t="str">
        <f>IF(E179&lt;&gt;"",IF(F179=E179,"No Change",IF(F179&gt;E179,"Increase","Decrease")),"New")</f>
        <v>Increase</v>
      </c>
      <c r="J179" s="58" t="s">
        <v>122</v>
      </c>
      <c r="K179" s="59" t="str">
        <f>IF(LEN(J179)&gt;0,IF(OR(ISLOGICAL(J179),J179="TRUE"),"Yes",""),"")</f>
      </c>
      <c r="L179" s="59"/>
      <c r="M179" s="59"/>
      <c r="N179" s="62" t="str">
        <f>IF(LEN(M179)&gt;0,IF(OR(ISLOGICAL(M179),M179="TRUE"),"Yes",""),"")</f>
      </c>
      <c r="O179" s="59"/>
      <c r="P179" s="62" t="str">
        <f>IF(LEN(O179)&gt;0,IF(OR(ISLOGICAL(O179),O179="TRUE"),"Yes",""),"")</f>
      </c>
      <c r="Q179" s="62" t="s">
        <v>98</v>
      </c>
      <c r="R179" s="63"/>
    </row>
    <row r="180" spans="1:18" s="47" customFormat="1" ht="51">
      <c r="A180" s="63" t="s">
        <v>434</v>
      </c>
      <c r="B180" s="63" t="s">
        <v>96</v>
      </c>
      <c r="C180" s="63" t="s">
        <v>435</v>
      </c>
      <c r="D180" s="61"/>
      <c r="E180" s="45">
        <v>0.27</v>
      </c>
      <c r="F180" s="45">
        <v>0.27</v>
      </c>
      <c r="G180" s="66">
        <v>45679</v>
      </c>
      <c r="H180" s="45" t="str">
        <f>IF(ISNUMBER(E180),F180-E180,"N/A")</f>
        <v>N/A</v>
      </c>
      <c r="I180" s="46" t="str">
        <f>IF(E180&lt;&gt;"",IF(F180=E180,"No Change",IF(F180&gt;E180,"Increase","Decrease")),"New")</f>
        <v>Increase</v>
      </c>
      <c r="J180" s="58" t="s">
        <v>122</v>
      </c>
      <c r="K180" s="59" t="str">
        <f>IF(LEN(J180)&gt;0,IF(OR(ISLOGICAL(J180),J180="TRUE"),"Yes",""),"")</f>
      </c>
      <c r="L180" s="59"/>
      <c r="M180" s="59"/>
      <c r="N180" s="62" t="str">
        <f>IF(LEN(M180)&gt;0,IF(OR(ISLOGICAL(M180),M180="TRUE"),"Yes",""),"")</f>
      </c>
      <c r="O180" s="59"/>
      <c r="P180" s="62" t="str">
        <f>IF(LEN(O180)&gt;0,IF(OR(ISLOGICAL(O180),O180="TRUE"),"Yes",""),"")</f>
      </c>
      <c r="Q180" s="62" t="s">
        <v>98</v>
      </c>
      <c r="R180" s="63"/>
    </row>
    <row r="181" spans="1:18" s="47" customFormat="1" ht="51">
      <c r="A181" s="63" t="s">
        <v>436</v>
      </c>
      <c r="B181" s="63" t="s">
        <v>96</v>
      </c>
      <c r="C181" s="63" t="s">
        <v>437</v>
      </c>
      <c r="D181" s="61"/>
      <c r="E181" s="45">
        <v>0.2975</v>
      </c>
      <c r="F181" s="45">
        <v>0.2975</v>
      </c>
      <c r="G181" s="66">
        <v>46092</v>
      </c>
      <c r="H181" s="45" t="str">
        <f>IF(ISNUMBER(E181),F181-E181,"N/A")</f>
        <v>N/A</v>
      </c>
      <c r="I181" s="46" t="str">
        <f>IF(E181&lt;&gt;"",IF(F181=E181,"No Change",IF(F181&gt;E181,"Increase","Decrease")),"New")</f>
        <v>Increase</v>
      </c>
      <c r="J181" s="58"/>
      <c r="K181" s="59" t="str">
        <f>IF(LEN(J181)&gt;0,IF(OR(ISLOGICAL(J181),J181="TRUE"),"Yes",""),"")</f>
      </c>
      <c r="L181" s="59"/>
      <c r="M181" s="59"/>
      <c r="N181" s="62" t="str">
        <f>IF(LEN(M181)&gt;0,IF(OR(ISLOGICAL(M181),M181="TRUE"),"Yes",""),"")</f>
      </c>
      <c r="O181" s="59"/>
      <c r="P181" s="62" t="str">
        <f>IF(LEN(O181)&gt;0,IF(OR(ISLOGICAL(O181),O181="TRUE"),"Yes",""),"")</f>
      </c>
      <c r="Q181" s="62" t="s">
        <v>98</v>
      </c>
      <c r="R181" s="63"/>
    </row>
    <row r="182" spans="1:18" s="47" customFormat="1" ht="51">
      <c r="A182" s="63" t="s">
        <v>438</v>
      </c>
      <c r="B182" s="63" t="s">
        <v>96</v>
      </c>
      <c r="C182" s="63" t="s">
        <v>439</v>
      </c>
      <c r="D182" s="61"/>
      <c r="E182" s="45">
        <v>0.2975</v>
      </c>
      <c r="F182" s="45">
        <v>0.2975</v>
      </c>
      <c r="G182" s="66">
        <v>46082</v>
      </c>
      <c r="H182" s="45" t="str">
        <f>IF(ISNUMBER(E182),F182-E182,"N/A")</f>
        <v>N/A</v>
      </c>
      <c r="I182" s="46" t="str">
        <f>IF(E182&lt;&gt;"",IF(F182=E182,"No Change",IF(F182&gt;E182,"Increase","Decrease")),"New")</f>
        <v>Increase</v>
      </c>
      <c r="J182" s="58"/>
      <c r="K182" s="59" t="str">
        <f>IF(LEN(J182)&gt;0,IF(OR(ISLOGICAL(J182),J182="TRUE"),"Yes",""),"")</f>
      </c>
      <c r="L182" s="59"/>
      <c r="M182" s="59"/>
      <c r="N182" s="62" t="str">
        <f>IF(LEN(M182)&gt;0,IF(OR(ISLOGICAL(M182),M182="TRUE"),"Yes",""),"")</f>
      </c>
      <c r="O182" s="59"/>
      <c r="P182" s="62" t="str">
        <f>IF(LEN(O182)&gt;0,IF(OR(ISLOGICAL(O182),O182="TRUE"),"Yes",""),"")</f>
      </c>
      <c r="Q182" s="62" t="s">
        <v>98</v>
      </c>
      <c r="R182" s="63"/>
    </row>
    <row r="183" spans="1:18" s="47" customFormat="1" ht="51">
      <c r="A183" s="63" t="s">
        <v>440</v>
      </c>
      <c r="B183" s="63" t="s">
        <v>96</v>
      </c>
      <c r="C183" s="63" t="s">
        <v>441</v>
      </c>
      <c r="D183" s="61"/>
      <c r="E183" s="45">
        <v>0.2975</v>
      </c>
      <c r="F183" s="45">
        <v>0.2975</v>
      </c>
      <c r="G183" s="66">
        <v>46092</v>
      </c>
      <c r="H183" s="45" t="str">
        <f>IF(ISNUMBER(E183),F183-E183,"N/A")</f>
        <v>N/A</v>
      </c>
      <c r="I183" s="46" t="str">
        <f>IF(E183&lt;&gt;"",IF(F183=E183,"No Change",IF(F183&gt;E183,"Increase","Decrease")),"New")</f>
        <v>Increase</v>
      </c>
      <c r="J183" s="58"/>
      <c r="K183" s="59" t="str">
        <f>IF(LEN(J183)&gt;0,IF(OR(ISLOGICAL(J183),J183="TRUE"),"Yes",""),"")</f>
      </c>
      <c r="L183" s="59"/>
      <c r="M183" s="59"/>
      <c r="N183" s="62" t="str">
        <f>IF(LEN(M183)&gt;0,IF(OR(ISLOGICAL(M183),M183="TRUE"),"Yes",""),"")</f>
      </c>
      <c r="O183" s="59"/>
      <c r="P183" s="62" t="str">
        <f>IF(LEN(O183)&gt;0,IF(OR(ISLOGICAL(O183),O183="TRUE"),"Yes",""),"")</f>
      </c>
      <c r="Q183" s="62" t="s">
        <v>98</v>
      </c>
      <c r="R183" s="63"/>
    </row>
    <row r="184" spans="1:18" s="47" customFormat="1" ht="51">
      <c r="A184" s="63" t="s">
        <v>442</v>
      </c>
      <c r="B184" s="63" t="s">
        <v>96</v>
      </c>
      <c r="C184" s="63" t="s">
        <v>443</v>
      </c>
      <c r="D184" s="61"/>
      <c r="E184" s="45">
        <v>0.2975</v>
      </c>
      <c r="F184" s="45">
        <v>0.2975</v>
      </c>
      <c r="G184" s="66">
        <v>46078</v>
      </c>
      <c r="H184" s="45" t="str">
        <f>IF(ISNUMBER(E184),F184-E184,"N/A")</f>
        <v>N/A</v>
      </c>
      <c r="I184" s="46" t="str">
        <f>IF(E184&lt;&gt;"",IF(F184=E184,"No Change",IF(F184&gt;E184,"Increase","Decrease")),"New")</f>
        <v>Increase</v>
      </c>
      <c r="J184" s="58"/>
      <c r="K184" s="59" t="str">
        <f>IF(LEN(J184)&gt;0,IF(OR(ISLOGICAL(J184),J184="TRUE"),"Yes",""),"")</f>
      </c>
      <c r="L184" s="59"/>
      <c r="M184" s="59"/>
      <c r="N184" s="62" t="str">
        <f>IF(LEN(M184)&gt;0,IF(OR(ISLOGICAL(M184),M184="TRUE"),"Yes",""),"")</f>
      </c>
      <c r="O184" s="59"/>
      <c r="P184" s="62" t="str">
        <f>IF(LEN(O184)&gt;0,IF(OR(ISLOGICAL(O184),O184="TRUE"),"Yes",""),"")</f>
      </c>
      <c r="Q184" s="62" t="s">
        <v>98</v>
      </c>
      <c r="R184" s="63"/>
    </row>
    <row r="185" spans="1:18" s="47" customFormat="1" ht="51">
      <c r="A185" s="63" t="s">
        <v>444</v>
      </c>
      <c r="B185" s="63" t="s">
        <v>96</v>
      </c>
      <c r="C185" s="63" t="s">
        <v>445</v>
      </c>
      <c r="D185" s="61"/>
      <c r="E185" s="45">
        <v>0.2975</v>
      </c>
      <c r="F185" s="45">
        <v>0.2975</v>
      </c>
      <c r="G185" s="66">
        <v>46082</v>
      </c>
      <c r="H185" s="45" t="str">
        <f>IF(ISNUMBER(E185),F185-E185,"N/A")</f>
        <v>N/A</v>
      </c>
      <c r="I185" s="46" t="str">
        <f>IF(E185&lt;&gt;"",IF(F185=E185,"No Change",IF(F185&gt;E185,"Increase","Decrease")),"New")</f>
        <v>Increase</v>
      </c>
      <c r="J185" s="58"/>
      <c r="K185" s="59" t="str">
        <f>IF(LEN(J185)&gt;0,IF(OR(ISLOGICAL(J185),J185="TRUE"),"Yes",""),"")</f>
      </c>
      <c r="L185" s="59"/>
      <c r="M185" s="59"/>
      <c r="N185" s="62" t="str">
        <f>IF(LEN(M185)&gt;0,IF(OR(ISLOGICAL(M185),M185="TRUE"),"Yes",""),"")</f>
      </c>
      <c r="O185" s="59"/>
      <c r="P185" s="62" t="str">
        <f>IF(LEN(O185)&gt;0,IF(OR(ISLOGICAL(O185),O185="TRUE"),"Yes",""),"")</f>
      </c>
      <c r="Q185" s="62" t="s">
        <v>98</v>
      </c>
      <c r="R185" s="63"/>
    </row>
    <row r="186" spans="1:18" s="47" customFormat="1" ht="51">
      <c r="A186" s="63" t="s">
        <v>446</v>
      </c>
      <c r="B186" s="63" t="s">
        <v>96</v>
      </c>
      <c r="C186" s="63" t="s">
        <v>447</v>
      </c>
      <c r="D186" s="61"/>
      <c r="E186" s="45">
        <v>0.2975</v>
      </c>
      <c r="F186" s="45">
        <v>0.2975</v>
      </c>
      <c r="G186" s="66">
        <v>46078</v>
      </c>
      <c r="H186" s="45" t="str">
        <f>IF(ISNUMBER(E186),F186-E186,"N/A")</f>
        <v>N/A</v>
      </c>
      <c r="I186" s="46" t="str">
        <f>IF(E186&lt;&gt;"",IF(F186=E186,"No Change",IF(F186&gt;E186,"Increase","Decrease")),"New")</f>
        <v>Increase</v>
      </c>
      <c r="J186" s="58"/>
      <c r="K186" s="59" t="str">
        <f>IF(LEN(J186)&gt;0,IF(OR(ISLOGICAL(J186),J186="TRUE"),"Yes",""),"")</f>
      </c>
      <c r="L186" s="59"/>
      <c r="M186" s="59"/>
      <c r="N186" s="62" t="str">
        <f>IF(LEN(M186)&gt;0,IF(OR(ISLOGICAL(M186),M186="TRUE"),"Yes",""),"")</f>
      </c>
      <c r="O186" s="59"/>
      <c r="P186" s="62" t="str">
        <f>IF(LEN(O186)&gt;0,IF(OR(ISLOGICAL(O186),O186="TRUE"),"Yes",""),"")</f>
      </c>
      <c r="Q186" s="62" t="s">
        <v>98</v>
      </c>
      <c r="R186" s="63"/>
    </row>
    <row r="187" spans="1:18" s="47" customFormat="1" ht="51">
      <c r="A187" s="63" t="s">
        <v>448</v>
      </c>
      <c r="B187" s="63" t="s">
        <v>96</v>
      </c>
      <c r="C187" s="63" t="s">
        <v>449</v>
      </c>
      <c r="D187" s="61"/>
      <c r="E187" s="45">
        <v>0.2975</v>
      </c>
      <c r="F187" s="45">
        <v>0.2975</v>
      </c>
      <c r="G187" s="66">
        <v>46082</v>
      </c>
      <c r="H187" s="45" t="str">
        <f>IF(ISNUMBER(E187),F187-E187,"N/A")</f>
        <v>N/A</v>
      </c>
      <c r="I187" s="46" t="str">
        <f>IF(E187&lt;&gt;"",IF(F187=E187,"No Change",IF(F187&gt;E187,"Increase","Decrease")),"New")</f>
        <v>Increase</v>
      </c>
      <c r="J187" s="58"/>
      <c r="K187" s="59" t="str">
        <f>IF(LEN(J187)&gt;0,IF(OR(ISLOGICAL(J187),J187="TRUE"),"Yes",""),"")</f>
      </c>
      <c r="L187" s="59"/>
      <c r="M187" s="59"/>
      <c r="N187" s="62" t="str">
        <f>IF(LEN(M187)&gt;0,IF(OR(ISLOGICAL(M187),M187="TRUE"),"Yes",""),"")</f>
      </c>
      <c r="O187" s="59"/>
      <c r="P187" s="62" t="str">
        <f>IF(LEN(O187)&gt;0,IF(OR(ISLOGICAL(O187),O187="TRUE"),"Yes",""),"")</f>
      </c>
      <c r="Q187" s="62" t="s">
        <v>98</v>
      </c>
      <c r="R187" s="63"/>
    </row>
    <row r="188" spans="1:18" s="47" customFormat="1" ht="51">
      <c r="A188" s="63" t="s">
        <v>450</v>
      </c>
      <c r="B188" s="63" t="s">
        <v>96</v>
      </c>
      <c r="C188" s="63" t="s">
        <v>451</v>
      </c>
      <c r="D188" s="61"/>
      <c r="E188" s="45">
        <v>0.037</v>
      </c>
      <c r="F188" s="45">
        <v>0.037</v>
      </c>
      <c r="G188" s="66">
        <v>46015</v>
      </c>
      <c r="H188" s="45" t="str">
        <f>IF(ISNUMBER(E188),F188-E188,"N/A")</f>
        <v>N/A</v>
      </c>
      <c r="I188" s="46" t="str">
        <f>IF(E188&lt;&gt;"",IF(F188=E188,"No Change",IF(F188&gt;E188,"Increase","Decrease")),"New")</f>
        <v>Increase</v>
      </c>
      <c r="J188" s="58"/>
      <c r="K188" s="59" t="str">
        <f>IF(LEN(J188)&gt;0,IF(OR(ISLOGICAL(J188),J188="TRUE"),"Yes",""),"")</f>
      </c>
      <c r="L188" s="59"/>
      <c r="M188" s="59"/>
      <c r="N188" s="62" t="str">
        <f>IF(LEN(M188)&gt;0,IF(OR(ISLOGICAL(M188),M188="TRUE"),"Yes",""),"")</f>
      </c>
      <c r="O188" s="59"/>
      <c r="P188" s="62" t="str">
        <f>IF(LEN(O188)&gt;0,IF(OR(ISLOGICAL(O188),O188="TRUE"),"Yes",""),"")</f>
      </c>
      <c r="Q188" s="62" t="s">
        <v>104</v>
      </c>
      <c r="R188" s="63"/>
    </row>
    <row r="189" spans="1:18" s="47" customFormat="1" ht="51">
      <c r="A189" s="63" t="s">
        <v>452</v>
      </c>
      <c r="B189" s="63" t="s">
        <v>96</v>
      </c>
      <c r="C189" s="63" t="s">
        <v>453</v>
      </c>
      <c r="D189" s="61"/>
      <c r="E189" s="45">
        <v>0.095</v>
      </c>
      <c r="F189" s="45">
        <v>0.095</v>
      </c>
      <c r="G189" s="66">
        <v>45980</v>
      </c>
      <c r="H189" s="45" t="str">
        <f>IF(ISNUMBER(E189),F189-E189,"N/A")</f>
        <v>N/A</v>
      </c>
      <c r="I189" s="46" t="str">
        <f>IF(E189&lt;&gt;"",IF(F189=E189,"No Change",IF(F189&gt;E189,"Increase","Decrease")),"New")</f>
        <v>Increase</v>
      </c>
      <c r="J189" s="58"/>
      <c r="K189" s="59" t="str">
        <f>IF(LEN(J189)&gt;0,IF(OR(ISLOGICAL(J189),J189="TRUE"),"Yes",""),"")</f>
      </c>
      <c r="L189" s="59"/>
      <c r="M189" s="59"/>
      <c r="N189" s="62" t="str">
        <f>IF(LEN(M189)&gt;0,IF(OR(ISLOGICAL(M189),M189="TRUE"),"Yes",""),"")</f>
      </c>
      <c r="O189" s="59"/>
      <c r="P189" s="62" t="str">
        <f>IF(LEN(O189)&gt;0,IF(OR(ISLOGICAL(O189),O189="TRUE"),"Yes",""),"")</f>
      </c>
      <c r="Q189" s="62" t="s">
        <v>104</v>
      </c>
      <c r="R189" s="63"/>
    </row>
    <row r="190" spans="1:18" s="47" customFormat="1" ht="51">
      <c r="A190" s="63" t="s">
        <v>454</v>
      </c>
      <c r="B190" s="63" t="s">
        <v>96</v>
      </c>
      <c r="C190" s="63" t="s">
        <v>455</v>
      </c>
      <c r="D190" s="61"/>
      <c r="E190" s="45">
        <v>0.072</v>
      </c>
      <c r="F190" s="45">
        <v>0.072</v>
      </c>
      <c r="G190" s="66">
        <v>46023</v>
      </c>
      <c r="H190" s="45" t="str">
        <f>IF(ISNUMBER(E190),F190-E190,"N/A")</f>
        <v>N/A</v>
      </c>
      <c r="I190" s="46" t="str">
        <f>IF(E190&lt;&gt;"",IF(F190=E190,"No Change",IF(F190&gt;E190,"Increase","Decrease")),"New")</f>
        <v>Increase</v>
      </c>
      <c r="J190" s="58" t="s">
        <v>122</v>
      </c>
      <c r="K190" s="59" t="str">
        <f>IF(LEN(J190)&gt;0,IF(OR(ISLOGICAL(J190),J190="TRUE"),"Yes",""),"")</f>
      </c>
      <c r="L190" s="59"/>
      <c r="M190" s="59"/>
      <c r="N190" s="62" t="str">
        <f>IF(LEN(M190)&gt;0,IF(OR(ISLOGICAL(M190),M190="TRUE"),"Yes",""),"")</f>
      </c>
      <c r="O190" s="59"/>
      <c r="P190" s="62" t="str">
        <f>IF(LEN(O190)&gt;0,IF(OR(ISLOGICAL(O190),O190="TRUE"),"Yes",""),"")</f>
      </c>
      <c r="Q190" s="62" t="s">
        <v>104</v>
      </c>
      <c r="R190" s="63"/>
    </row>
    <row r="191" spans="1:18" s="47" customFormat="1" ht="51">
      <c r="A191" s="63" t="s">
        <v>456</v>
      </c>
      <c r="B191" s="63" t="s">
        <v>96</v>
      </c>
      <c r="C191" s="63" t="s">
        <v>457</v>
      </c>
      <c r="D191" s="61"/>
      <c r="E191" s="45">
        <v>0.095</v>
      </c>
      <c r="F191" s="45">
        <v>0.095</v>
      </c>
      <c r="G191" s="66">
        <v>45980</v>
      </c>
      <c r="H191" s="45" t="str">
        <f>IF(ISNUMBER(E191),F191-E191,"N/A")</f>
        <v>N/A</v>
      </c>
      <c r="I191" s="46" t="str">
        <f>IF(E191&lt;&gt;"",IF(F191=E191,"No Change",IF(F191&gt;E191,"Increase","Decrease")),"New")</f>
        <v>Increase</v>
      </c>
      <c r="J191" s="58" t="s">
        <v>122</v>
      </c>
      <c r="K191" s="59" t="str">
        <f>IF(LEN(J191)&gt;0,IF(OR(ISLOGICAL(J191),J191="TRUE"),"Yes",""),"")</f>
      </c>
      <c r="L191" s="59"/>
      <c r="M191" s="59"/>
      <c r="N191" s="62" t="str">
        <f>IF(LEN(M191)&gt;0,IF(OR(ISLOGICAL(M191),M191="TRUE"),"Yes",""),"")</f>
      </c>
      <c r="O191" s="59"/>
      <c r="P191" s="62" t="str">
        <f>IF(LEN(O191)&gt;0,IF(OR(ISLOGICAL(O191),O191="TRUE"),"Yes",""),"")</f>
      </c>
      <c r="Q191" s="62" t="s">
        <v>104</v>
      </c>
      <c r="R191" s="63"/>
    </row>
    <row r="192" spans="1:18" s="47" customFormat="1" ht="51">
      <c r="A192" s="63" t="s">
        <v>458</v>
      </c>
      <c r="B192" s="63" t="s">
        <v>96</v>
      </c>
      <c r="C192" s="63" t="s">
        <v>459</v>
      </c>
      <c r="D192" s="61"/>
      <c r="E192" s="45">
        <v>0.037</v>
      </c>
      <c r="F192" s="45">
        <v>0.037</v>
      </c>
      <c r="G192" s="66">
        <v>45889</v>
      </c>
      <c r="H192" s="45" t="str">
        <f>IF(ISNUMBER(E192),F192-E192,"N/A")</f>
        <v>N/A</v>
      </c>
      <c r="I192" s="46" t="str">
        <f>IF(E192&lt;&gt;"",IF(F192=E192,"No Change",IF(F192&gt;E192,"Increase","Decrease")),"New")</f>
        <v>Increase</v>
      </c>
      <c r="J192" s="58" t="s">
        <v>122</v>
      </c>
      <c r="K192" s="59" t="str">
        <f>IF(LEN(J192)&gt;0,IF(OR(ISLOGICAL(J192),J192="TRUE"),"Yes",""),"")</f>
      </c>
      <c r="L192" s="59"/>
      <c r="M192" s="59"/>
      <c r="N192" s="62" t="str">
        <f>IF(LEN(M192)&gt;0,IF(OR(ISLOGICAL(M192),M192="TRUE"),"Yes",""),"")</f>
      </c>
      <c r="O192" s="59"/>
      <c r="P192" s="62" t="str">
        <f>IF(LEN(O192)&gt;0,IF(OR(ISLOGICAL(O192),O192="TRUE"),"Yes",""),"")</f>
      </c>
      <c r="Q192" s="62" t="s">
        <v>104</v>
      </c>
      <c r="R192" s="63"/>
    </row>
    <row r="193" spans="1:18" s="47" customFormat="1" ht="51">
      <c r="A193" s="63" t="s">
        <v>460</v>
      </c>
      <c r="B193" s="63" t="s">
        <v>96</v>
      </c>
      <c r="C193" s="63" t="s">
        <v>461</v>
      </c>
      <c r="D193" s="61"/>
      <c r="E193" s="45">
        <v>0.072</v>
      </c>
      <c r="F193" s="45">
        <v>0.072</v>
      </c>
      <c r="G193" s="66">
        <v>45917</v>
      </c>
      <c r="H193" s="45" t="str">
        <f>IF(ISNUMBER(E193),F193-E193,"N/A")</f>
        <v>N/A</v>
      </c>
      <c r="I193" s="46" t="str">
        <f>IF(E193&lt;&gt;"",IF(F193=E193,"No Change",IF(F193&gt;E193,"Increase","Decrease")),"New")</f>
        <v>Increase</v>
      </c>
      <c r="J193" s="58" t="s">
        <v>122</v>
      </c>
      <c r="K193" s="59" t="str">
        <f>IF(LEN(J193)&gt;0,IF(OR(ISLOGICAL(J193),J193="TRUE"),"Yes",""),"")</f>
      </c>
      <c r="L193" s="59"/>
      <c r="M193" s="59"/>
      <c r="N193" s="62" t="str">
        <f>IF(LEN(M193)&gt;0,IF(OR(ISLOGICAL(M193),M193="TRUE"),"Yes",""),"")</f>
      </c>
      <c r="O193" s="59"/>
      <c r="P193" s="62" t="str">
        <f>IF(LEN(O193)&gt;0,IF(OR(ISLOGICAL(O193),O193="TRUE"),"Yes",""),"")</f>
      </c>
      <c r="Q193" s="62" t="s">
        <v>104</v>
      </c>
      <c r="R193" s="63"/>
    </row>
    <row r="194" spans="1:18" s="47" customFormat="1" ht="51">
      <c r="A194" s="63" t="s">
        <v>462</v>
      </c>
      <c r="B194" s="63" t="s">
        <v>96</v>
      </c>
      <c r="C194" s="63" t="s">
        <v>463</v>
      </c>
      <c r="D194" s="61"/>
      <c r="E194" s="45">
        <v>0.3125</v>
      </c>
      <c r="F194" s="45">
        <v>0.3125</v>
      </c>
      <c r="G194" s="66">
        <v>46092</v>
      </c>
      <c r="H194" s="45" t="str">
        <f>IF(ISNUMBER(E194),F194-E194,"N/A")</f>
        <v>N/A</v>
      </c>
      <c r="I194" s="46" t="str">
        <f>IF(E194&lt;&gt;"",IF(F194=E194,"No Change",IF(F194&gt;E194,"Increase","Decrease")),"New")</f>
        <v>Increase</v>
      </c>
      <c r="J194" s="58"/>
      <c r="K194" s="59" t="str">
        <f>IF(LEN(J194)&gt;0,IF(OR(ISLOGICAL(J194),J194="TRUE"),"Yes",""),"")</f>
      </c>
      <c r="L194" s="59"/>
      <c r="M194" s="59"/>
      <c r="N194" s="62" t="str">
        <f>IF(LEN(M194)&gt;0,IF(OR(ISLOGICAL(M194),M194="TRUE"),"Yes",""),"")</f>
      </c>
      <c r="O194" s="59"/>
      <c r="P194" s="62" t="str">
        <f>IF(LEN(O194)&gt;0,IF(OR(ISLOGICAL(O194),O194="TRUE"),"Yes",""),"")</f>
      </c>
      <c r="Q194" s="62" t="s">
        <v>98</v>
      </c>
      <c r="R194" s="63"/>
    </row>
    <row r="195" spans="1:18" s="47" customFormat="1" ht="51">
      <c r="A195" s="63" t="s">
        <v>464</v>
      </c>
      <c r="B195" s="63" t="s">
        <v>96</v>
      </c>
      <c r="C195" s="63" t="s">
        <v>465</v>
      </c>
      <c r="D195" s="61"/>
      <c r="E195" s="45">
        <v>0.37</v>
      </c>
      <c r="F195" s="45">
        <v>0.37</v>
      </c>
      <c r="G195" s="66">
        <v>46085</v>
      </c>
      <c r="H195" s="45" t="str">
        <f>IF(ISNUMBER(E195),F195-E195,"N/A")</f>
        <v>N/A</v>
      </c>
      <c r="I195" s="46" t="str">
        <f>IF(E195&lt;&gt;"",IF(F195=E195,"No Change",IF(F195&gt;E195,"Increase","Decrease")),"New")</f>
        <v>Increase</v>
      </c>
      <c r="J195" s="58" t="s">
        <v>122</v>
      </c>
      <c r="K195" s="59" t="str">
        <f>IF(LEN(J195)&gt;0,IF(OR(ISLOGICAL(J195),J195="TRUE"),"Yes",""),"")</f>
      </c>
      <c r="L195" s="59"/>
      <c r="M195" s="59"/>
      <c r="N195" s="62" t="str">
        <f>IF(LEN(M195)&gt;0,IF(OR(ISLOGICAL(M195),M195="TRUE"),"Yes",""),"")</f>
      </c>
      <c r="O195" s="59"/>
      <c r="P195" s="62" t="str">
        <f>IF(LEN(O195)&gt;0,IF(OR(ISLOGICAL(O195),O195="TRUE"),"Yes",""),"")</f>
      </c>
      <c r="Q195" s="62" t="s">
        <v>109</v>
      </c>
      <c r="R195" s="63"/>
    </row>
    <row r="196" spans="1:18" s="47" customFormat="1" ht="51">
      <c r="A196" s="63" t="s">
        <v>466</v>
      </c>
      <c r="B196" s="63" t="s">
        <v>96</v>
      </c>
      <c r="C196" s="63" t="s">
        <v>467</v>
      </c>
      <c r="D196" s="61"/>
      <c r="E196" s="45">
        <v>0.37</v>
      </c>
      <c r="F196" s="45">
        <v>0.37</v>
      </c>
      <c r="G196" s="66">
        <v>46082</v>
      </c>
      <c r="H196" s="45" t="str">
        <f>IF(ISNUMBER(E196),F196-E196,"N/A")</f>
        <v>N/A</v>
      </c>
      <c r="I196" s="46" t="str">
        <f>IF(E196&lt;&gt;"",IF(F196=E196,"No Change",IF(F196&gt;E196,"Increase","Decrease")),"New")</f>
        <v>Increase</v>
      </c>
      <c r="J196" s="58"/>
      <c r="K196" s="59" t="str">
        <f>IF(LEN(J196)&gt;0,IF(OR(ISLOGICAL(J196),J196="TRUE"),"Yes",""),"")</f>
      </c>
      <c r="L196" s="59"/>
      <c r="M196" s="59"/>
      <c r="N196" s="62" t="str">
        <f>IF(LEN(M196)&gt;0,IF(OR(ISLOGICAL(M196),M196="TRUE"),"Yes",""),"")</f>
      </c>
      <c r="O196" s="59"/>
      <c r="P196" s="62" t="str">
        <f>IF(LEN(O196)&gt;0,IF(OR(ISLOGICAL(O196),O196="TRUE"),"Yes",""),"")</f>
      </c>
      <c r="Q196" s="62" t="s">
        <v>109</v>
      </c>
      <c r="R196" s="63"/>
    </row>
    <row r="197" spans="1:18" s="47" customFormat="1" ht="51">
      <c r="A197" s="63" t="s">
        <v>468</v>
      </c>
      <c r="B197" s="63" t="s">
        <v>96</v>
      </c>
      <c r="C197" s="63" t="s">
        <v>469</v>
      </c>
      <c r="D197" s="61"/>
      <c r="E197" s="45">
        <v>0.28</v>
      </c>
      <c r="F197" s="45">
        <v>0.28</v>
      </c>
      <c r="G197" s="66">
        <v>46092</v>
      </c>
      <c r="H197" s="45" t="str">
        <f>IF(ISNUMBER(E197),F197-E197,"N/A")</f>
        <v>N/A</v>
      </c>
      <c r="I197" s="46" t="str">
        <f>IF(E197&lt;&gt;"",IF(F197=E197,"No Change",IF(F197&gt;E197,"Increase","Decrease")),"New")</f>
        <v>Increase</v>
      </c>
      <c r="J197" s="58" t="s">
        <v>122</v>
      </c>
      <c r="K197" s="59" t="str">
        <f>IF(LEN(J197)&gt;0,IF(OR(ISLOGICAL(J197),J197="TRUE"),"Yes",""),"")</f>
      </c>
      <c r="L197" s="59"/>
      <c r="M197" s="59"/>
      <c r="N197" s="62" t="str">
        <f>IF(LEN(M197)&gt;0,IF(OR(ISLOGICAL(M197),M197="TRUE"),"Yes",""),"")</f>
      </c>
      <c r="O197" s="59"/>
      <c r="P197" s="62" t="str">
        <f>IF(LEN(O197)&gt;0,IF(OR(ISLOGICAL(O197),O197="TRUE"),"Yes",""),"")</f>
      </c>
      <c r="Q197" s="62" t="s">
        <v>104</v>
      </c>
      <c r="R197" s="63"/>
    </row>
    <row r="198" spans="1:18" s="47" customFormat="1" ht="51">
      <c r="A198" s="63" t="s">
        <v>470</v>
      </c>
      <c r="B198" s="63" t="s">
        <v>96</v>
      </c>
      <c r="C198" s="63" t="s">
        <v>471</v>
      </c>
      <c r="D198" s="61"/>
      <c r="E198" s="45">
        <v>0.335</v>
      </c>
      <c r="F198" s="45">
        <v>0.335</v>
      </c>
      <c r="G198" s="66">
        <v>46082</v>
      </c>
      <c r="H198" s="45" t="str">
        <f>IF(ISNUMBER(E198),F198-E198,"N/A")</f>
        <v>N/A</v>
      </c>
      <c r="I198" s="46" t="str">
        <f>IF(E198&lt;&gt;"",IF(F198=E198,"No Change",IF(F198&gt;E198,"Increase","Decrease")),"New")</f>
        <v>Increase</v>
      </c>
      <c r="J198" s="58" t="s">
        <v>122</v>
      </c>
      <c r="K198" s="59" t="str">
        <f>IF(LEN(J198)&gt;0,IF(OR(ISLOGICAL(J198),J198="TRUE"),"Yes",""),"")</f>
      </c>
      <c r="L198" s="59"/>
      <c r="M198" s="59"/>
      <c r="N198" s="62" t="str">
        <f>IF(LEN(M198)&gt;0,IF(OR(ISLOGICAL(M198),M198="TRUE"),"Yes",""),"")</f>
      </c>
      <c r="O198" s="59"/>
      <c r="P198" s="62" t="str">
        <f>IF(LEN(O198)&gt;0,IF(OR(ISLOGICAL(O198),O198="TRUE"),"Yes",""),"")</f>
      </c>
      <c r="Q198" s="62" t="s">
        <v>104</v>
      </c>
      <c r="R198" s="63"/>
    </row>
    <row r="199" spans="1:18" s="47" customFormat="1" ht="51">
      <c r="A199" s="63" t="s">
        <v>472</v>
      </c>
      <c r="B199" s="63" t="s">
        <v>96</v>
      </c>
      <c r="C199" s="63" t="s">
        <v>473</v>
      </c>
      <c r="D199" s="61"/>
      <c r="E199" s="45">
        <v>0.35</v>
      </c>
      <c r="F199" s="45">
        <v>0.35</v>
      </c>
      <c r="G199" s="66">
        <v>46082</v>
      </c>
      <c r="H199" s="45" t="str">
        <f>IF(ISNUMBER(E199),F199-E199,"N/A")</f>
        <v>N/A</v>
      </c>
      <c r="I199" s="46" t="str">
        <f>IF(E199&lt;&gt;"",IF(F199=E199,"No Change",IF(F199&gt;E199,"Increase","Decrease")),"New")</f>
        <v>Increase</v>
      </c>
      <c r="J199" s="58"/>
      <c r="K199" s="59" t="str">
        <f>IF(LEN(J199)&gt;0,IF(OR(ISLOGICAL(J199),J199="TRUE"),"Yes",""),"")</f>
      </c>
      <c r="L199" s="59"/>
      <c r="M199" s="59"/>
      <c r="N199" s="62" t="str">
        <f>IF(LEN(M199)&gt;0,IF(OR(ISLOGICAL(M199),M199="TRUE"),"Yes",""),"")</f>
      </c>
      <c r="O199" s="59"/>
      <c r="P199" s="62" t="str">
        <f>IF(LEN(O199)&gt;0,IF(OR(ISLOGICAL(O199),O199="TRUE"),"Yes",""),"")</f>
      </c>
      <c r="Q199" s="62" t="s">
        <v>98</v>
      </c>
      <c r="R199" s="63"/>
    </row>
    <row r="200" spans="1:18" s="47" customFormat="1" ht="51">
      <c r="A200" s="63" t="s">
        <v>474</v>
      </c>
      <c r="B200" s="63" t="s">
        <v>96</v>
      </c>
      <c r="C200" s="63" t="s">
        <v>475</v>
      </c>
      <c r="D200" s="61"/>
      <c r="E200" s="45">
        <v>0.3125</v>
      </c>
      <c r="F200" s="45">
        <v>0.3125</v>
      </c>
      <c r="G200" s="66">
        <v>46092</v>
      </c>
      <c r="H200" s="45" t="str">
        <f>IF(ISNUMBER(E200),F200-E200,"N/A")</f>
        <v>N/A</v>
      </c>
      <c r="I200" s="46" t="str">
        <f>IF(E200&lt;&gt;"",IF(F200=E200,"No Change",IF(F200&gt;E200,"Increase","Decrease")),"New")</f>
        <v>Increase</v>
      </c>
      <c r="J200" s="58"/>
      <c r="K200" s="59" t="str">
        <f>IF(LEN(J200)&gt;0,IF(OR(ISLOGICAL(J200),J200="TRUE"),"Yes",""),"")</f>
      </c>
      <c r="L200" s="59"/>
      <c r="M200" s="59"/>
      <c r="N200" s="62" t="str">
        <f>IF(LEN(M200)&gt;0,IF(OR(ISLOGICAL(M200),M200="TRUE"),"Yes",""),"")</f>
      </c>
      <c r="O200" s="59"/>
      <c r="P200" s="62" t="str">
        <f>IF(LEN(O200)&gt;0,IF(OR(ISLOGICAL(O200),O200="TRUE"),"Yes",""),"")</f>
      </c>
      <c r="Q200" s="62" t="s">
        <v>98</v>
      </c>
      <c r="R200" s="63"/>
    </row>
    <row r="201" spans="1:18" s="47" customFormat="1" ht="51">
      <c r="A201" s="63" t="s">
        <v>476</v>
      </c>
      <c r="B201" s="63" t="s">
        <v>96</v>
      </c>
      <c r="C201" s="63" t="s">
        <v>477</v>
      </c>
      <c r="D201" s="61"/>
      <c r="E201" s="45">
        <v>0.0018</v>
      </c>
      <c r="F201" s="45">
        <v>0.0018</v>
      </c>
      <c r="G201" s="66">
        <v>46143</v>
      </c>
      <c r="H201" s="45" t="str">
        <f>IF(ISNUMBER(E201),F201-E201,"N/A")</f>
        <v>N/A</v>
      </c>
      <c r="I201" s="46" t="str">
        <f>IF(E201&lt;&gt;"",IF(F201=E201,"No Change",IF(F201&gt;E201,"Increase","Decrease")),"New")</f>
        <v>Increase</v>
      </c>
      <c r="J201" s="58" t="s">
        <v>122</v>
      </c>
      <c r="K201" s="59" t="str">
        <f>IF(LEN(J201)&gt;0,IF(OR(ISLOGICAL(J201),J201="TRUE"),"Yes",""),"")</f>
      </c>
      <c r="L201" s="59"/>
      <c r="M201" s="59"/>
      <c r="N201" s="62" t="str">
        <f>IF(LEN(M201)&gt;0,IF(OR(ISLOGICAL(M201),M201="TRUE"),"Yes",""),"")</f>
      </c>
      <c r="O201" s="59"/>
      <c r="P201" s="62" t="str">
        <f>IF(LEN(O201)&gt;0,IF(OR(ISLOGICAL(O201),O201="TRUE"),"Yes",""),"")</f>
      </c>
      <c r="Q201" s="62" t="s">
        <v>98</v>
      </c>
      <c r="R201" s="63"/>
    </row>
    <row r="202" spans="1:18" s="47" customFormat="1" ht="51">
      <c r="A202" s="63" t="s">
        <v>478</v>
      </c>
      <c r="B202" s="63" t="s">
        <v>96</v>
      </c>
      <c r="C202" s="63" t="s">
        <v>479</v>
      </c>
      <c r="D202" s="61"/>
      <c r="E202" s="45">
        <v>0.0018</v>
      </c>
      <c r="F202" s="45">
        <v>0.0018</v>
      </c>
      <c r="G202" s="66">
        <v>46143</v>
      </c>
      <c r="H202" s="45" t="str">
        <f>IF(ISNUMBER(E202),F202-E202,"N/A")</f>
        <v>N/A</v>
      </c>
      <c r="I202" s="46" t="str">
        <f>IF(E202&lt;&gt;"",IF(F202=E202,"No Change",IF(F202&gt;E202,"Increase","Decrease")),"New")</f>
        <v>Increase</v>
      </c>
      <c r="J202" s="58"/>
      <c r="K202" s="59" t="str">
        <f>IF(LEN(J202)&gt;0,IF(OR(ISLOGICAL(J202),J202="TRUE"),"Yes",""),"")</f>
      </c>
      <c r="L202" s="59"/>
      <c r="M202" s="59"/>
      <c r="N202" s="62" t="str">
        <f>IF(LEN(M202)&gt;0,IF(OR(ISLOGICAL(M202),M202="TRUE"),"Yes",""),"")</f>
      </c>
      <c r="O202" s="59"/>
      <c r="P202" s="62" t="str">
        <f>IF(LEN(O202)&gt;0,IF(OR(ISLOGICAL(O202),O202="TRUE"),"Yes",""),"")</f>
      </c>
      <c r="Q202" s="62" t="s">
        <v>98</v>
      </c>
      <c r="R202" s="63"/>
    </row>
    <row r="203" spans="1:18" s="47" customFormat="1" ht="51">
      <c r="A203" s="63" t="s">
        <v>480</v>
      </c>
      <c r="B203" s="63" t="s">
        <v>96</v>
      </c>
      <c r="C203" s="63" t="s">
        <v>481</v>
      </c>
      <c r="D203" s="61"/>
      <c r="E203" s="45">
        <v>0.0018</v>
      </c>
      <c r="F203" s="45">
        <v>0.0018</v>
      </c>
      <c r="G203" s="66">
        <v>46092</v>
      </c>
      <c r="H203" s="45" t="str">
        <f>IF(ISNUMBER(E203),F203-E203,"N/A")</f>
        <v>N/A</v>
      </c>
      <c r="I203" s="46" t="str">
        <f>IF(E203&lt;&gt;"",IF(F203=E203,"No Change",IF(F203&gt;E203,"Increase","Decrease")),"New")</f>
        <v>Increase</v>
      </c>
      <c r="J203" s="58"/>
      <c r="K203" s="59" t="str">
        <f>IF(LEN(J203)&gt;0,IF(OR(ISLOGICAL(J203),J203="TRUE"),"Yes",""),"")</f>
      </c>
      <c r="L203" s="59"/>
      <c r="M203" s="59"/>
      <c r="N203" s="62" t="str">
        <f>IF(LEN(M203)&gt;0,IF(OR(ISLOGICAL(M203),M203="TRUE"),"Yes",""),"")</f>
      </c>
      <c r="O203" s="59"/>
      <c r="P203" s="62" t="str">
        <f>IF(LEN(O203)&gt;0,IF(OR(ISLOGICAL(O203),O203="TRUE"),"Yes",""),"")</f>
      </c>
      <c r="Q203" s="62" t="s">
        <v>98</v>
      </c>
      <c r="R203" s="63"/>
    </row>
    <row r="204" spans="1:18" s="47" customFormat="1" ht="51">
      <c r="A204" s="63" t="s">
        <v>482</v>
      </c>
      <c r="B204" s="63" t="s">
        <v>96</v>
      </c>
      <c r="C204" s="63" t="s">
        <v>483</v>
      </c>
      <c r="D204" s="61"/>
      <c r="E204" s="45">
        <v>0.0586</v>
      </c>
      <c r="F204" s="45">
        <v>0.0586</v>
      </c>
      <c r="G204" s="66">
        <v>46082</v>
      </c>
      <c r="H204" s="45" t="str">
        <f>IF(ISNUMBER(E204),F204-E204,"N/A")</f>
        <v>N/A</v>
      </c>
      <c r="I204" s="46" t="str">
        <f>IF(E204&lt;&gt;"",IF(F204=E204,"No Change",IF(F204&gt;E204,"Increase","Decrease")),"New")</f>
        <v>Increase</v>
      </c>
      <c r="J204" s="58"/>
      <c r="K204" s="59" t="str">
        <f>IF(LEN(J204)&gt;0,IF(OR(ISLOGICAL(J204),J204="TRUE"),"Yes",""),"")</f>
      </c>
      <c r="L204" s="59"/>
      <c r="M204" s="59"/>
      <c r="N204" s="62" t="str">
        <f>IF(LEN(M204)&gt;0,IF(OR(ISLOGICAL(M204),M204="TRUE"),"Yes",""),"")</f>
      </c>
      <c r="O204" s="59"/>
      <c r="P204" s="62" t="str">
        <f>IF(LEN(O204)&gt;0,IF(OR(ISLOGICAL(O204),O204="TRUE"),"Yes",""),"")</f>
      </c>
      <c r="Q204" s="62" t="s">
        <v>98</v>
      </c>
      <c r="R204" s="63"/>
    </row>
    <row r="205" spans="1:18" s="47" customFormat="1" ht="51">
      <c r="A205" s="63" t="s">
        <v>484</v>
      </c>
      <c r="B205" s="63" t="s">
        <v>96</v>
      </c>
      <c r="C205" s="63" t="s">
        <v>485</v>
      </c>
      <c r="D205" s="61"/>
      <c r="E205" s="45">
        <v>0.2375</v>
      </c>
      <c r="F205" s="45">
        <v>0.2375</v>
      </c>
      <c r="G205" s="66">
        <v>46092</v>
      </c>
      <c r="H205" s="45" t="str">
        <f>IF(ISNUMBER(E205),F205-E205,"N/A")</f>
        <v>N/A</v>
      </c>
      <c r="I205" s="46" t="str">
        <f>IF(E205&lt;&gt;"",IF(F205=E205,"No Change",IF(F205&gt;E205,"Increase","Decrease")),"New")</f>
        <v>Increase</v>
      </c>
      <c r="J205" s="58"/>
      <c r="K205" s="59" t="str">
        <f>IF(LEN(J205)&gt;0,IF(OR(ISLOGICAL(J205),J205="TRUE"),"Yes",""),"")</f>
      </c>
      <c r="L205" s="59"/>
      <c r="M205" s="59"/>
      <c r="N205" s="62" t="str">
        <f>IF(LEN(M205)&gt;0,IF(OR(ISLOGICAL(M205),M205="TRUE"),"Yes",""),"")</f>
      </c>
      <c r="O205" s="59"/>
      <c r="P205" s="62" t="str">
        <f>IF(LEN(O205)&gt;0,IF(OR(ISLOGICAL(O205),O205="TRUE"),"Yes",""),"")</f>
      </c>
      <c r="Q205" s="62" t="s">
        <v>98</v>
      </c>
      <c r="R205" s="63"/>
    </row>
    <row r="206" spans="1:18" s="47" customFormat="1" ht="51">
      <c r="A206" s="63" t="s">
        <v>486</v>
      </c>
      <c r="B206" s="63" t="s">
        <v>96</v>
      </c>
      <c r="C206" s="63" t="s">
        <v>487</v>
      </c>
      <c r="D206" s="61"/>
      <c r="E206" s="45">
        <v>0.2375</v>
      </c>
      <c r="F206" s="45">
        <v>0.2375</v>
      </c>
      <c r="G206" s="66">
        <v>46082</v>
      </c>
      <c r="H206" s="45" t="str">
        <f>IF(ISNUMBER(E206),F206-E206,"N/A")</f>
        <v>N/A</v>
      </c>
      <c r="I206" s="46" t="str">
        <f>IF(E206&lt;&gt;"",IF(F206=E206,"No Change",IF(F206&gt;E206,"Increase","Decrease")),"New")</f>
        <v>Increase</v>
      </c>
      <c r="J206" s="58"/>
      <c r="K206" s="59" t="str">
        <f>IF(LEN(J206)&gt;0,IF(OR(ISLOGICAL(J206),J206="TRUE"),"Yes",""),"")</f>
      </c>
      <c r="L206" s="59"/>
      <c r="M206" s="59"/>
      <c r="N206" s="62" t="str">
        <f>IF(LEN(M206)&gt;0,IF(OR(ISLOGICAL(M206),M206="TRUE"),"Yes",""),"")</f>
      </c>
      <c r="O206" s="59"/>
      <c r="P206" s="62" t="str">
        <f>IF(LEN(O206)&gt;0,IF(OR(ISLOGICAL(O206),O206="TRUE"),"Yes",""),"")</f>
      </c>
      <c r="Q206" s="62" t="s">
        <v>98</v>
      </c>
      <c r="R206" s="63"/>
    </row>
    <row r="207" spans="1:18" s="47" customFormat="1" ht="51">
      <c r="A207" s="63" t="s">
        <v>488</v>
      </c>
      <c r="B207" s="63" t="s">
        <v>96</v>
      </c>
      <c r="C207" s="63" t="s">
        <v>489</v>
      </c>
      <c r="D207" s="61"/>
      <c r="E207" s="45">
        <v>0.2375</v>
      </c>
      <c r="F207" s="45">
        <v>0.2375</v>
      </c>
      <c r="G207" s="66">
        <v>46082</v>
      </c>
      <c r="H207" s="45" t="str">
        <f>IF(ISNUMBER(E207),F207-E207,"N/A")</f>
        <v>N/A</v>
      </c>
      <c r="I207" s="46" t="str">
        <f>IF(E207&lt;&gt;"",IF(F207=E207,"No Change",IF(F207&gt;E207,"Increase","Decrease")),"New")</f>
        <v>Increase</v>
      </c>
      <c r="J207" s="58"/>
      <c r="K207" s="59" t="str">
        <f>IF(LEN(J207)&gt;0,IF(OR(ISLOGICAL(J207),J207="TRUE"),"Yes",""),"")</f>
      </c>
      <c r="L207" s="59"/>
      <c r="M207" s="59"/>
      <c r="N207" s="62" t="str">
        <f>IF(LEN(M207)&gt;0,IF(OR(ISLOGICAL(M207),M207="TRUE"),"Yes",""),"")</f>
      </c>
      <c r="O207" s="59"/>
      <c r="P207" s="62" t="str">
        <f>IF(LEN(O207)&gt;0,IF(OR(ISLOGICAL(O207),O207="TRUE"),"Yes",""),"")</f>
      </c>
      <c r="Q207" s="62" t="s">
        <v>98</v>
      </c>
      <c r="R207" s="63"/>
    </row>
    <row r="208" spans="1:18" s="47" customFormat="1" ht="51">
      <c r="A208" s="63" t="s">
        <v>490</v>
      </c>
      <c r="B208" s="63" t="s">
        <v>96</v>
      </c>
      <c r="C208" s="63" t="s">
        <v>491</v>
      </c>
      <c r="D208" s="61"/>
      <c r="E208" s="45">
        <v>0.2375</v>
      </c>
      <c r="F208" s="45">
        <v>0.2375</v>
      </c>
      <c r="G208" s="66">
        <v>46082</v>
      </c>
      <c r="H208" s="45" t="str">
        <f>IF(ISNUMBER(E208),F208-E208,"N/A")</f>
        <v>N/A</v>
      </c>
      <c r="I208" s="46" t="str">
        <f>IF(E208&lt;&gt;"",IF(F208=E208,"No Change",IF(F208&gt;E208,"Increase","Decrease")),"New")</f>
        <v>Increase</v>
      </c>
      <c r="J208" s="58"/>
      <c r="K208" s="59" t="str">
        <f>IF(LEN(J208)&gt;0,IF(OR(ISLOGICAL(J208),J208="TRUE"),"Yes",""),"")</f>
      </c>
      <c r="L208" s="59"/>
      <c r="M208" s="59"/>
      <c r="N208" s="62" t="str">
        <f>IF(LEN(M208)&gt;0,IF(OR(ISLOGICAL(M208),M208="TRUE"),"Yes",""),"")</f>
      </c>
      <c r="O208" s="59"/>
      <c r="P208" s="62" t="str">
        <f>IF(LEN(O208)&gt;0,IF(OR(ISLOGICAL(O208),O208="TRUE"),"Yes",""),"")</f>
      </c>
      <c r="Q208" s="62" t="s">
        <v>98</v>
      </c>
      <c r="R208" s="63"/>
    </row>
    <row r="209" spans="1:18" s="47" customFormat="1" ht="51">
      <c r="A209" s="63" t="s">
        <v>492</v>
      </c>
      <c r="B209" s="63" t="s">
        <v>96</v>
      </c>
      <c r="C209" s="63" t="s">
        <v>493</v>
      </c>
      <c r="D209" s="61"/>
      <c r="E209" s="45">
        <v>0.235</v>
      </c>
      <c r="F209" s="45">
        <v>0.235</v>
      </c>
      <c r="G209" s="66">
        <v>46092</v>
      </c>
      <c r="H209" s="45" t="str">
        <f>IF(ISNUMBER(E209),F209-E209,"N/A")</f>
        <v>N/A</v>
      </c>
      <c r="I209" s="46" t="str">
        <f>IF(E209&lt;&gt;"",IF(F209=E209,"No Change",IF(F209&gt;E209,"Increase","Decrease")),"New")</f>
        <v>Increase</v>
      </c>
      <c r="J209" s="58"/>
      <c r="K209" s="59" t="str">
        <f>IF(LEN(J209)&gt;0,IF(OR(ISLOGICAL(J209),J209="TRUE"),"Yes",""),"")</f>
      </c>
      <c r="L209" s="59"/>
      <c r="M209" s="59"/>
      <c r="N209" s="62" t="str">
        <f>IF(LEN(M209)&gt;0,IF(OR(ISLOGICAL(M209),M209="TRUE"),"Yes",""),"")</f>
      </c>
      <c r="O209" s="59"/>
      <c r="P209" s="62" t="str">
        <f>IF(LEN(O209)&gt;0,IF(OR(ISLOGICAL(O209),O209="TRUE"),"Yes",""),"")</f>
      </c>
      <c r="Q209" s="62" t="s">
        <v>98</v>
      </c>
      <c r="R209" s="63"/>
    </row>
    <row r="210" spans="1:18" s="47" customFormat="1" ht="51">
      <c r="A210" s="63" t="s">
        <v>494</v>
      </c>
      <c r="B210" s="63" t="s">
        <v>96</v>
      </c>
      <c r="C210" s="63" t="s">
        <v>495</v>
      </c>
      <c r="D210" s="61"/>
      <c r="E210" s="45">
        <v>0.235</v>
      </c>
      <c r="F210" s="45">
        <v>0.235</v>
      </c>
      <c r="G210" s="66">
        <v>46092</v>
      </c>
      <c r="H210" s="45" t="str">
        <f>IF(ISNUMBER(E210),F210-E210,"N/A")</f>
        <v>N/A</v>
      </c>
      <c r="I210" s="46" t="str">
        <f>IF(E210&lt;&gt;"",IF(F210=E210,"No Change",IF(F210&gt;E210,"Increase","Decrease")),"New")</f>
        <v>Increase</v>
      </c>
      <c r="J210" s="58"/>
      <c r="K210" s="59" t="str">
        <f>IF(LEN(J210)&gt;0,IF(OR(ISLOGICAL(J210),J210="TRUE"),"Yes",""),"")</f>
      </c>
      <c r="L210" s="59"/>
      <c r="M210" s="59"/>
      <c r="N210" s="62" t="str">
        <f>IF(LEN(M210)&gt;0,IF(OR(ISLOGICAL(M210),M210="TRUE"),"Yes",""),"")</f>
      </c>
      <c r="O210" s="59"/>
      <c r="P210" s="62" t="str">
        <f>IF(LEN(O210)&gt;0,IF(OR(ISLOGICAL(O210),O210="TRUE"),"Yes",""),"")</f>
      </c>
      <c r="Q210" s="62" t="s">
        <v>98</v>
      </c>
      <c r="R210" s="63"/>
    </row>
    <row r="211" spans="1:18" s="47" customFormat="1" ht="51">
      <c r="A211" s="63" t="s">
        <v>496</v>
      </c>
      <c r="B211" s="63" t="s">
        <v>96</v>
      </c>
      <c r="C211" s="63" t="s">
        <v>497</v>
      </c>
      <c r="D211" s="61"/>
      <c r="E211" s="45">
        <v>0.235</v>
      </c>
      <c r="F211" s="45">
        <v>0.235</v>
      </c>
      <c r="G211" s="66">
        <v>46082</v>
      </c>
      <c r="H211" s="45" t="str">
        <f>IF(ISNUMBER(E211),F211-E211,"N/A")</f>
        <v>N/A</v>
      </c>
      <c r="I211" s="46" t="str">
        <f>IF(E211&lt;&gt;"",IF(F211=E211,"No Change",IF(F211&gt;E211,"Increase","Decrease")),"New")</f>
        <v>Increase</v>
      </c>
      <c r="J211" s="58"/>
      <c r="K211" s="59" t="str">
        <f>IF(LEN(J211)&gt;0,IF(OR(ISLOGICAL(J211),J211="TRUE"),"Yes",""),"")</f>
      </c>
      <c r="L211" s="59"/>
      <c r="M211" s="59"/>
      <c r="N211" s="62" t="str">
        <f>IF(LEN(M211)&gt;0,IF(OR(ISLOGICAL(M211),M211="TRUE"),"Yes",""),"")</f>
      </c>
      <c r="O211" s="59"/>
      <c r="P211" s="62" t="str">
        <f>IF(LEN(O211)&gt;0,IF(OR(ISLOGICAL(O211),O211="TRUE"),"Yes",""),"")</f>
      </c>
      <c r="Q211" s="62" t="s">
        <v>98</v>
      </c>
      <c r="R211" s="63"/>
    </row>
    <row r="212" spans="1:18" s="47" customFormat="1" ht="51">
      <c r="A212" s="63" t="s">
        <v>498</v>
      </c>
      <c r="B212" s="63" t="s">
        <v>96</v>
      </c>
      <c r="C212" s="63" t="s">
        <v>499</v>
      </c>
      <c r="D212" s="61"/>
      <c r="E212" s="45">
        <v>0.235</v>
      </c>
      <c r="F212" s="45">
        <v>0.235</v>
      </c>
      <c r="G212" s="66">
        <v>46082</v>
      </c>
      <c r="H212" s="45" t="str">
        <f>IF(ISNUMBER(E212),F212-E212,"N/A")</f>
        <v>N/A</v>
      </c>
      <c r="I212" s="46" t="str">
        <f>IF(E212&lt;&gt;"",IF(F212=E212,"No Change",IF(F212&gt;E212,"Increase","Decrease")),"New")</f>
        <v>Increase</v>
      </c>
      <c r="J212" s="58"/>
      <c r="K212" s="59" t="str">
        <f>IF(LEN(J212)&gt;0,IF(OR(ISLOGICAL(J212),J212="TRUE"),"Yes",""),"")</f>
      </c>
      <c r="L212" s="59"/>
      <c r="M212" s="59"/>
      <c r="N212" s="62" t="str">
        <f>IF(LEN(M212)&gt;0,IF(OR(ISLOGICAL(M212),M212="TRUE"),"Yes",""),"")</f>
      </c>
      <c r="O212" s="59"/>
      <c r="P212" s="62" t="str">
        <f>IF(LEN(O212)&gt;0,IF(OR(ISLOGICAL(O212),O212="TRUE"),"Yes",""),"")</f>
      </c>
      <c r="Q212" s="62" t="s">
        <v>98</v>
      </c>
      <c r="R212" s="63"/>
    </row>
    <row r="213" spans="1:18" s="47" customFormat="1" ht="51">
      <c r="A213" s="63" t="s">
        <v>500</v>
      </c>
      <c r="B213" s="63" t="s">
        <v>96</v>
      </c>
      <c r="C213" s="63" t="s">
        <v>501</v>
      </c>
      <c r="D213" s="61"/>
      <c r="E213" s="45">
        <v>0.5</v>
      </c>
      <c r="F213" s="45">
        <v>0.5</v>
      </c>
      <c r="G213" s="66">
        <v>46078</v>
      </c>
      <c r="H213" s="45" t="str">
        <f>IF(ISNUMBER(E213),F213-E213,"N/A")</f>
        <v>N/A</v>
      </c>
      <c r="I213" s="46" t="str">
        <f>IF(E213&lt;&gt;"",IF(F213=E213,"No Change",IF(F213&gt;E213,"Increase","Decrease")),"New")</f>
        <v>Increase</v>
      </c>
      <c r="J213" s="58"/>
      <c r="K213" s="59" t="str">
        <f>IF(LEN(J213)&gt;0,IF(OR(ISLOGICAL(J213),J213="TRUE"),"Yes",""),"")</f>
      </c>
      <c r="L213" s="59"/>
      <c r="M213" s="59"/>
      <c r="N213" s="62" t="str">
        <f>IF(LEN(M213)&gt;0,IF(OR(ISLOGICAL(M213),M213="TRUE"),"Yes",""),"")</f>
      </c>
      <c r="O213" s="59"/>
      <c r="P213" s="62" t="str">
        <f>IF(LEN(O213)&gt;0,IF(OR(ISLOGICAL(O213),O213="TRUE"),"Yes",""),"")</f>
      </c>
      <c r="Q213" s="62" t="s">
        <v>98</v>
      </c>
      <c r="R213" s="63"/>
    </row>
    <row r="214" spans="1:18" s="47" customFormat="1" ht="51">
      <c r="A214" s="63" t="s">
        <v>502</v>
      </c>
      <c r="B214" s="63" t="s">
        <v>96</v>
      </c>
      <c r="C214" s="63" t="s">
        <v>503</v>
      </c>
      <c r="D214" s="61"/>
      <c r="E214" s="45">
        <v>0.5</v>
      </c>
      <c r="F214" s="45">
        <v>0.5</v>
      </c>
      <c r="G214" s="66">
        <v>46082</v>
      </c>
      <c r="H214" s="45" t="str">
        <f>IF(ISNUMBER(E214),F214-E214,"N/A")</f>
        <v>N/A</v>
      </c>
      <c r="I214" s="46" t="str">
        <f>IF(E214&lt;&gt;"",IF(F214=E214,"No Change",IF(F214&gt;E214,"Increase","Decrease")),"New")</f>
        <v>Increase</v>
      </c>
      <c r="J214" s="58"/>
      <c r="K214" s="59" t="str">
        <f>IF(LEN(J214)&gt;0,IF(OR(ISLOGICAL(J214),J214="TRUE"),"Yes",""),"")</f>
      </c>
      <c r="L214" s="59"/>
      <c r="M214" s="59"/>
      <c r="N214" s="62" t="str">
        <f>IF(LEN(M214)&gt;0,IF(OR(ISLOGICAL(M214),M214="TRUE"),"Yes",""),"")</f>
      </c>
      <c r="O214" s="59"/>
      <c r="P214" s="62" t="str">
        <f>IF(LEN(O214)&gt;0,IF(OR(ISLOGICAL(O214),O214="TRUE"),"Yes",""),"")</f>
      </c>
      <c r="Q214" s="62" t="s">
        <v>98</v>
      </c>
      <c r="R214" s="63"/>
    </row>
    <row r="215" spans="1:18" s="47" customFormat="1" ht="51">
      <c r="A215" s="63" t="s">
        <v>504</v>
      </c>
      <c r="B215" s="63" t="s">
        <v>96</v>
      </c>
      <c r="C215" s="63" t="s">
        <v>505</v>
      </c>
      <c r="D215" s="61"/>
      <c r="E215" s="45">
        <v>0.5</v>
      </c>
      <c r="F215" s="45">
        <v>0.5</v>
      </c>
      <c r="G215" s="66">
        <v>46082</v>
      </c>
      <c r="H215" s="45" t="str">
        <f>IF(ISNUMBER(E215),F215-E215,"N/A")</f>
        <v>N/A</v>
      </c>
      <c r="I215" s="46" t="str">
        <f>IF(E215&lt;&gt;"",IF(F215=E215,"No Change",IF(F215&gt;E215,"Increase","Decrease")),"New")</f>
        <v>Increase</v>
      </c>
      <c r="J215" s="58"/>
      <c r="K215" s="59" t="str">
        <f>IF(LEN(J215)&gt;0,IF(OR(ISLOGICAL(J215),J215="TRUE"),"Yes",""),"")</f>
      </c>
      <c r="L215" s="59"/>
      <c r="M215" s="59"/>
      <c r="N215" s="62" t="str">
        <f>IF(LEN(M215)&gt;0,IF(OR(ISLOGICAL(M215),M215="TRUE"),"Yes",""),"")</f>
      </c>
      <c r="O215" s="59"/>
      <c r="P215" s="62" t="str">
        <f>IF(LEN(O215)&gt;0,IF(OR(ISLOGICAL(O215),O215="TRUE"),"Yes",""),"")</f>
      </c>
      <c r="Q215" s="62" t="s">
        <v>98</v>
      </c>
      <c r="R215" s="63"/>
    </row>
    <row r="216" spans="1:18" s="47" customFormat="1" ht="51">
      <c r="A216" s="63" t="s">
        <v>506</v>
      </c>
      <c r="B216" s="63" t="s">
        <v>96</v>
      </c>
      <c r="C216" s="63" t="s">
        <v>507</v>
      </c>
      <c r="D216" s="61"/>
      <c r="E216" s="45">
        <v>0.5</v>
      </c>
      <c r="F216" s="45">
        <v>0.5</v>
      </c>
      <c r="G216" s="66">
        <v>46082</v>
      </c>
      <c r="H216" s="45" t="str">
        <f>IF(ISNUMBER(E216),F216-E216,"N/A")</f>
        <v>N/A</v>
      </c>
      <c r="I216" s="46" t="str">
        <f>IF(E216&lt;&gt;"",IF(F216=E216,"No Change",IF(F216&gt;E216,"Increase","Decrease")),"New")</f>
        <v>Increase</v>
      </c>
      <c r="J216" s="58"/>
      <c r="K216" s="59" t="str">
        <f>IF(LEN(J216)&gt;0,IF(OR(ISLOGICAL(J216),J216="TRUE"),"Yes",""),"")</f>
      </c>
      <c r="L216" s="59"/>
      <c r="M216" s="59"/>
      <c r="N216" s="62" t="str">
        <f>IF(LEN(M216)&gt;0,IF(OR(ISLOGICAL(M216),M216="TRUE"),"Yes",""),"")</f>
      </c>
      <c r="O216" s="59"/>
      <c r="P216" s="62" t="str">
        <f>IF(LEN(O216)&gt;0,IF(OR(ISLOGICAL(O216),O216="TRUE"),"Yes",""),"")</f>
      </c>
      <c r="Q216" s="62" t="s">
        <v>98</v>
      </c>
      <c r="R216" s="63"/>
    </row>
    <row r="217" spans="1:18" s="47" customFormat="1" ht="51">
      <c r="A217" s="63" t="s">
        <v>508</v>
      </c>
      <c r="B217" s="63" t="s">
        <v>96</v>
      </c>
      <c r="C217" s="63" t="s">
        <v>509</v>
      </c>
      <c r="D217" s="61"/>
      <c r="E217" s="45">
        <v>0.5</v>
      </c>
      <c r="F217" s="45">
        <v>0.5</v>
      </c>
      <c r="G217" s="66">
        <v>46082</v>
      </c>
      <c r="H217" s="45" t="str">
        <f>IF(ISNUMBER(E217),F217-E217,"N/A")</f>
        <v>N/A</v>
      </c>
      <c r="I217" s="46" t="str">
        <f>IF(E217&lt;&gt;"",IF(F217=E217,"No Change",IF(F217&gt;E217,"Increase","Decrease")),"New")</f>
        <v>Increase</v>
      </c>
      <c r="J217" s="58"/>
      <c r="K217" s="59" t="str">
        <f>IF(LEN(J217)&gt;0,IF(OR(ISLOGICAL(J217),J217="TRUE"),"Yes",""),"")</f>
      </c>
      <c r="L217" s="59"/>
      <c r="M217" s="59"/>
      <c r="N217" s="62" t="str">
        <f>IF(LEN(M217)&gt;0,IF(OR(ISLOGICAL(M217),M217="TRUE"),"Yes",""),"")</f>
      </c>
      <c r="O217" s="59"/>
      <c r="P217" s="62" t="str">
        <f>IF(LEN(O217)&gt;0,IF(OR(ISLOGICAL(O217),O217="TRUE"),"Yes",""),"")</f>
      </c>
      <c r="Q217" s="62" t="s">
        <v>98</v>
      </c>
      <c r="R217" s="63"/>
    </row>
    <row r="218" spans="1:18" s="47" customFormat="1" ht="51">
      <c r="A218" s="63" t="s">
        <v>510</v>
      </c>
      <c r="B218" s="63" t="s">
        <v>96</v>
      </c>
      <c r="C218" s="63" t="s">
        <v>511</v>
      </c>
      <c r="D218" s="61"/>
      <c r="E218" s="45">
        <v>0.5</v>
      </c>
      <c r="F218" s="45">
        <v>0.5</v>
      </c>
      <c r="G218" s="66">
        <v>46082</v>
      </c>
      <c r="H218" s="45" t="str">
        <f>IF(ISNUMBER(E218),F218-E218,"N/A")</f>
        <v>N/A</v>
      </c>
      <c r="I218" s="46" t="str">
        <f>IF(E218&lt;&gt;"",IF(F218=E218,"No Change",IF(F218&gt;E218,"Increase","Decrease")),"New")</f>
        <v>Increase</v>
      </c>
      <c r="J218" s="58"/>
      <c r="K218" s="59" t="str">
        <f>IF(LEN(J218)&gt;0,IF(OR(ISLOGICAL(J218),J218="TRUE"),"Yes",""),"")</f>
      </c>
      <c r="L218" s="59"/>
      <c r="M218" s="59"/>
      <c r="N218" s="62" t="str">
        <f>IF(LEN(M218)&gt;0,IF(OR(ISLOGICAL(M218),M218="TRUE"),"Yes",""),"")</f>
      </c>
      <c r="O218" s="59"/>
      <c r="P218" s="62" t="str">
        <f>IF(LEN(O218)&gt;0,IF(OR(ISLOGICAL(O218),O218="TRUE"),"Yes",""),"")</f>
      </c>
      <c r="Q218" s="62" t="s">
        <v>98</v>
      </c>
      <c r="R218" s="63"/>
    </row>
    <row r="219" spans="1:18" s="47" customFormat="1" ht="51">
      <c r="A219" s="63" t="s">
        <v>512</v>
      </c>
      <c r="B219" s="63" t="s">
        <v>96</v>
      </c>
      <c r="C219" s="63" t="s">
        <v>513</v>
      </c>
      <c r="D219" s="61"/>
      <c r="E219" s="45">
        <v>0.5</v>
      </c>
      <c r="F219" s="45">
        <v>0.5</v>
      </c>
      <c r="G219" s="66">
        <v>45756</v>
      </c>
      <c r="H219" s="45" t="str">
        <f>IF(ISNUMBER(E219),F219-E219,"N/A")</f>
        <v>N/A</v>
      </c>
      <c r="I219" s="46" t="str">
        <f>IF(E219&lt;&gt;"",IF(F219=E219,"No Change",IF(F219&gt;E219,"Increase","Decrease")),"New")</f>
        <v>Increase</v>
      </c>
      <c r="J219" s="58"/>
      <c r="K219" s="59" t="str">
        <f>IF(LEN(J219)&gt;0,IF(OR(ISLOGICAL(J219),J219="TRUE"),"Yes",""),"")</f>
      </c>
      <c r="L219" s="59"/>
      <c r="M219" s="59"/>
      <c r="N219" s="62" t="str">
        <f>IF(LEN(M219)&gt;0,IF(OR(ISLOGICAL(M219),M219="TRUE"),"Yes",""),"")</f>
      </c>
      <c r="O219" s="59"/>
      <c r="P219" s="62" t="str">
        <f>IF(LEN(O219)&gt;0,IF(OR(ISLOGICAL(O219),O219="TRUE"),"Yes",""),"")</f>
      </c>
      <c r="Q219" s="62" t="s">
        <v>98</v>
      </c>
      <c r="R219" s="63"/>
    </row>
    <row r="220" spans="1:18" s="47" customFormat="1" ht="51">
      <c r="A220" s="63" t="s">
        <v>514</v>
      </c>
      <c r="B220" s="63" t="s">
        <v>96</v>
      </c>
      <c r="C220" s="63" t="s">
        <v>515</v>
      </c>
      <c r="D220" s="61"/>
      <c r="E220" s="45">
        <v>0.5</v>
      </c>
      <c r="F220" s="45">
        <v>0.5</v>
      </c>
      <c r="G220" s="66">
        <v>45756</v>
      </c>
      <c r="H220" s="45" t="str">
        <f>IF(ISNUMBER(E220),F220-E220,"N/A")</f>
        <v>N/A</v>
      </c>
      <c r="I220" s="46" t="str">
        <f>IF(E220&lt;&gt;"",IF(F220=E220,"No Change",IF(F220&gt;E220,"Increase","Decrease")),"New")</f>
        <v>Increase</v>
      </c>
      <c r="J220" s="58"/>
      <c r="K220" s="59" t="str">
        <f>IF(LEN(J220)&gt;0,IF(OR(ISLOGICAL(J220),J220="TRUE"),"Yes",""),"")</f>
      </c>
      <c r="L220" s="59"/>
      <c r="M220" s="59"/>
      <c r="N220" s="62" t="str">
        <f>IF(LEN(M220)&gt;0,IF(OR(ISLOGICAL(M220),M220="TRUE"),"Yes",""),"")</f>
      </c>
      <c r="O220" s="59"/>
      <c r="P220" s="62" t="str">
        <f>IF(LEN(O220)&gt;0,IF(OR(ISLOGICAL(O220),O220="TRUE"),"Yes",""),"")</f>
      </c>
      <c r="Q220" s="62" t="s">
        <v>98</v>
      </c>
      <c r="R220" s="63"/>
    </row>
    <row r="221" spans="1:18" s="47" customFormat="1" ht="51">
      <c r="A221" s="63" t="s">
        <v>516</v>
      </c>
      <c r="B221" s="63" t="s">
        <v>96</v>
      </c>
      <c r="C221" s="63" t="s">
        <v>517</v>
      </c>
      <c r="D221" s="61"/>
      <c r="E221" s="45">
        <v>0.5</v>
      </c>
      <c r="F221" s="45">
        <v>0.5</v>
      </c>
      <c r="G221" s="66">
        <v>46082</v>
      </c>
      <c r="H221" s="45" t="str">
        <f>IF(ISNUMBER(E221),F221-E221,"N/A")</f>
        <v>N/A</v>
      </c>
      <c r="I221" s="46" t="str">
        <f>IF(E221&lt;&gt;"",IF(F221=E221,"No Change",IF(F221&gt;E221,"Increase","Decrease")),"New")</f>
        <v>Increase</v>
      </c>
      <c r="J221" s="58"/>
      <c r="K221" s="59" t="str">
        <f>IF(LEN(J221)&gt;0,IF(OR(ISLOGICAL(J221),J221="TRUE"),"Yes",""),"")</f>
      </c>
      <c r="L221" s="59"/>
      <c r="M221" s="59"/>
      <c r="N221" s="62" t="str">
        <f>IF(LEN(M221)&gt;0,IF(OR(ISLOGICAL(M221),M221="TRUE"),"Yes",""),"")</f>
      </c>
      <c r="O221" s="59"/>
      <c r="P221" s="62" t="str">
        <f>IF(LEN(O221)&gt;0,IF(OR(ISLOGICAL(O221),O221="TRUE"),"Yes",""),"")</f>
      </c>
      <c r="Q221" s="62" t="s">
        <v>98</v>
      </c>
      <c r="R221" s="63"/>
    </row>
    <row r="222" spans="1:18" s="47" customFormat="1" ht="51">
      <c r="A222" s="63" t="s">
        <v>518</v>
      </c>
      <c r="B222" s="63" t="s">
        <v>96</v>
      </c>
      <c r="C222" s="63" t="s">
        <v>519</v>
      </c>
      <c r="D222" s="61"/>
      <c r="E222" s="45">
        <v>0.38</v>
      </c>
      <c r="F222" s="45">
        <v>0.38</v>
      </c>
      <c r="G222" s="66">
        <v>46113</v>
      </c>
      <c r="H222" s="45" t="str">
        <f>IF(ISNUMBER(E222),F222-E222,"N/A")</f>
        <v>N/A</v>
      </c>
      <c r="I222" s="46" t="str">
        <f>IF(E222&lt;&gt;"",IF(F222=E222,"No Change",IF(F222&gt;E222,"Increase","Decrease")),"New")</f>
        <v>Increase</v>
      </c>
      <c r="J222" s="58"/>
      <c r="K222" s="59" t="str">
        <f>IF(LEN(J222)&gt;0,IF(OR(ISLOGICAL(J222),J222="TRUE"),"Yes",""),"")</f>
      </c>
      <c r="L222" s="59"/>
      <c r="M222" s="59"/>
      <c r="N222" s="62" t="str">
        <f>IF(LEN(M222)&gt;0,IF(OR(ISLOGICAL(M222),M222="TRUE"),"Yes",""),"")</f>
      </c>
      <c r="O222" s="59"/>
      <c r="P222" s="62" t="str">
        <f>IF(LEN(O222)&gt;0,IF(OR(ISLOGICAL(O222),O222="TRUE"),"Yes",""),"")</f>
      </c>
      <c r="Q222" s="62" t="s">
        <v>98</v>
      </c>
      <c r="R222" s="63"/>
    </row>
    <row r="223" spans="1:18" s="47" customFormat="1" ht="51">
      <c r="A223" s="63" t="s">
        <v>520</v>
      </c>
      <c r="B223" s="63" t="s">
        <v>96</v>
      </c>
      <c r="C223" s="63" t="s">
        <v>521</v>
      </c>
      <c r="D223" s="61"/>
      <c r="E223" s="45">
        <v>0.392</v>
      </c>
      <c r="F223" s="45">
        <v>0.392</v>
      </c>
      <c r="G223" s="66">
        <v>46113</v>
      </c>
      <c r="H223" s="45" t="str">
        <f>IF(ISNUMBER(E223),F223-E223,"N/A")</f>
        <v>N/A</v>
      </c>
      <c r="I223" s="46" t="str">
        <f>IF(E223&lt;&gt;"",IF(F223=E223,"No Change",IF(F223&gt;E223,"Increase","Decrease")),"New")</f>
        <v>Increase</v>
      </c>
      <c r="J223" s="58"/>
      <c r="K223" s="59" t="str">
        <f>IF(LEN(J223)&gt;0,IF(OR(ISLOGICAL(J223),J223="TRUE"),"Yes",""),"")</f>
      </c>
      <c r="L223" s="59"/>
      <c r="M223" s="59"/>
      <c r="N223" s="62" t="str">
        <f>IF(LEN(M223)&gt;0,IF(OR(ISLOGICAL(M223),M223="TRUE"),"Yes",""),"")</f>
      </c>
      <c r="O223" s="59"/>
      <c r="P223" s="62" t="str">
        <f>IF(LEN(O223)&gt;0,IF(OR(ISLOGICAL(O223),O223="TRUE"),"Yes",""),"")</f>
      </c>
      <c r="Q223" s="62" t="s">
        <v>98</v>
      </c>
      <c r="R223" s="63"/>
    </row>
    <row r="224" spans="1:18" s="47" customFormat="1" ht="51">
      <c r="A224" s="63" t="s">
        <v>522</v>
      </c>
      <c r="B224" s="63" t="s">
        <v>96</v>
      </c>
      <c r="C224" s="63" t="s">
        <v>523</v>
      </c>
      <c r="D224" s="61"/>
      <c r="E224" s="45">
        <v>0.388</v>
      </c>
      <c r="F224" s="45">
        <v>0.388</v>
      </c>
      <c r="G224" s="66">
        <v>45812</v>
      </c>
      <c r="H224" s="45" t="str">
        <f>IF(ISNUMBER(E224),F224-E224,"N/A")</f>
        <v>N/A</v>
      </c>
      <c r="I224" s="46" t="str">
        <f>IF(E224&lt;&gt;"",IF(F224=E224,"No Change",IF(F224&gt;E224,"Increase","Decrease")),"New")</f>
        <v>Increase</v>
      </c>
      <c r="J224" s="58" t="s">
        <v>122</v>
      </c>
      <c r="K224" s="59" t="str">
        <f>IF(LEN(J224)&gt;0,IF(OR(ISLOGICAL(J224),J224="TRUE"),"Yes",""),"")</f>
      </c>
      <c r="L224" s="59"/>
      <c r="M224" s="59"/>
      <c r="N224" s="62" t="str">
        <f>IF(LEN(M224)&gt;0,IF(OR(ISLOGICAL(M224),M224="TRUE"),"Yes",""),"")</f>
      </c>
      <c r="O224" s="59"/>
      <c r="P224" s="62" t="str">
        <f>IF(LEN(O224)&gt;0,IF(OR(ISLOGICAL(O224),O224="TRUE"),"Yes",""),"")</f>
      </c>
      <c r="Q224" s="62" t="s">
        <v>98</v>
      </c>
      <c r="R224" s="63"/>
    </row>
    <row r="225" spans="1:18" s="47" customFormat="1" ht="51">
      <c r="A225" s="63" t="s">
        <v>524</v>
      </c>
      <c r="B225" s="63" t="s">
        <v>96</v>
      </c>
      <c r="C225" s="63" t="s">
        <v>525</v>
      </c>
      <c r="D225" s="61"/>
      <c r="E225" s="45">
        <v>0.35</v>
      </c>
      <c r="F225" s="45">
        <v>0.35</v>
      </c>
      <c r="G225" s="66">
        <v>46078</v>
      </c>
      <c r="H225" s="45" t="str">
        <f>IF(ISNUMBER(E225),F225-E225,"N/A")</f>
        <v>N/A</v>
      </c>
      <c r="I225" s="46" t="str">
        <f>IF(E225&lt;&gt;"",IF(F225=E225,"No Change",IF(F225&gt;E225,"Increase","Decrease")),"New")</f>
        <v>Increase</v>
      </c>
      <c r="J225" s="58" t="s">
        <v>122</v>
      </c>
      <c r="K225" s="59" t="str">
        <f>IF(LEN(J225)&gt;0,IF(OR(ISLOGICAL(J225),J225="TRUE"),"Yes",""),"")</f>
      </c>
      <c r="L225" s="59"/>
      <c r="M225" s="59"/>
      <c r="N225" s="62" t="str">
        <f>IF(LEN(M225)&gt;0,IF(OR(ISLOGICAL(M225),M225="TRUE"),"Yes",""),"")</f>
      </c>
      <c r="O225" s="59"/>
      <c r="P225" s="62" t="str">
        <f>IF(LEN(O225)&gt;0,IF(OR(ISLOGICAL(O225),O225="TRUE"),"Yes",""),"")</f>
      </c>
      <c r="Q225" s="62" t="s">
        <v>98</v>
      </c>
      <c r="R225" s="63"/>
    </row>
    <row r="226" spans="1:18" s="47" customFormat="1" ht="51">
      <c r="A226" s="63" t="s">
        <v>526</v>
      </c>
      <c r="B226" s="63" t="s">
        <v>96</v>
      </c>
      <c r="C226" s="63" t="s">
        <v>527</v>
      </c>
      <c r="D226" s="61"/>
      <c r="E226" s="45">
        <v>0.0152</v>
      </c>
      <c r="F226" s="45">
        <v>0.0152</v>
      </c>
      <c r="G226" s="66">
        <v>46092</v>
      </c>
      <c r="H226" s="45" t="str">
        <f>IF(ISNUMBER(E226),F226-E226,"N/A")</f>
        <v>N/A</v>
      </c>
      <c r="I226" s="46" t="str">
        <f>IF(E226&lt;&gt;"",IF(F226=E226,"No Change",IF(F226&gt;E226,"Increase","Decrease")),"New")</f>
        <v>Increase</v>
      </c>
      <c r="J226" s="58"/>
      <c r="K226" s="59" t="str">
        <f>IF(LEN(J226)&gt;0,IF(OR(ISLOGICAL(J226),J226="TRUE"),"Yes",""),"")</f>
      </c>
      <c r="L226" s="59"/>
      <c r="M226" s="59"/>
      <c r="N226" s="62" t="str">
        <f>IF(LEN(M226)&gt;0,IF(OR(ISLOGICAL(M226),M226="TRUE"),"Yes",""),"")</f>
      </c>
      <c r="O226" s="59"/>
      <c r="P226" s="62" t="str">
        <f>IF(LEN(O226)&gt;0,IF(OR(ISLOGICAL(O226),O226="TRUE"),"Yes",""),"")</f>
      </c>
      <c r="Q226" s="62" t="s">
        <v>98</v>
      </c>
      <c r="R226" s="63"/>
    </row>
    <row r="227" spans="1:18" s="47" customFormat="1" ht="51">
      <c r="A227" s="63" t="s">
        <v>528</v>
      </c>
      <c r="B227" s="63" t="s">
        <v>96</v>
      </c>
      <c r="C227" s="63" t="s">
        <v>529</v>
      </c>
      <c r="D227" s="61"/>
      <c r="E227" s="45">
        <v>0.0152</v>
      </c>
      <c r="F227" s="45">
        <v>0.0152</v>
      </c>
      <c r="G227" s="66">
        <v>46092</v>
      </c>
      <c r="H227" s="45" t="str">
        <f>IF(ISNUMBER(E227),F227-E227,"N/A")</f>
        <v>N/A</v>
      </c>
      <c r="I227" s="46" t="str">
        <f>IF(E227&lt;&gt;"",IF(F227=E227,"No Change",IF(F227&gt;E227,"Increase","Decrease")),"New")</f>
        <v>Increase</v>
      </c>
      <c r="J227" s="58"/>
      <c r="K227" s="59" t="str">
        <f>IF(LEN(J227)&gt;0,IF(OR(ISLOGICAL(J227),J227="TRUE"),"Yes",""),"")</f>
      </c>
      <c r="L227" s="59"/>
      <c r="M227" s="59"/>
      <c r="N227" s="62" t="str">
        <f>IF(LEN(M227)&gt;0,IF(OR(ISLOGICAL(M227),M227="TRUE"),"Yes",""),"")</f>
      </c>
      <c r="O227" s="59"/>
      <c r="P227" s="62" t="str">
        <f>IF(LEN(O227)&gt;0,IF(OR(ISLOGICAL(O227),O227="TRUE"),"Yes",""),"")</f>
      </c>
      <c r="Q227" s="62" t="s">
        <v>98</v>
      </c>
      <c r="R227" s="63"/>
    </row>
    <row r="228" spans="1:18" s="47" customFormat="1" ht="51">
      <c r="A228" s="63" t="s">
        <v>530</v>
      </c>
      <c r="B228" s="63" t="s">
        <v>96</v>
      </c>
      <c r="C228" s="63" t="s">
        <v>531</v>
      </c>
      <c r="D228" s="61"/>
      <c r="E228" s="45">
        <v>0.0044</v>
      </c>
      <c r="F228" s="45">
        <v>0.0044</v>
      </c>
      <c r="G228" s="66">
        <v>46054</v>
      </c>
      <c r="H228" s="45" t="str">
        <f>IF(ISNUMBER(E228),F228-E228,"N/A")</f>
        <v>N/A</v>
      </c>
      <c r="I228" s="46" t="str">
        <f>IF(E228&lt;&gt;"",IF(F228=E228,"No Change",IF(F228&gt;E228,"Increase","Decrease")),"New")</f>
        <v>Increase</v>
      </c>
      <c r="J228" s="58" t="s">
        <v>122</v>
      </c>
      <c r="K228" s="59" t="str">
        <f>IF(LEN(J228)&gt;0,IF(OR(ISLOGICAL(J228),J228="TRUE"),"Yes",""),"")</f>
      </c>
      <c r="L228" s="59"/>
      <c r="M228" s="59"/>
      <c r="N228" s="62" t="str">
        <f>IF(LEN(M228)&gt;0,IF(OR(ISLOGICAL(M228),M228="TRUE"),"Yes",""),"")</f>
      </c>
      <c r="O228" s="59"/>
      <c r="P228" s="62" t="str">
        <f>IF(LEN(O228)&gt;0,IF(OR(ISLOGICAL(O228),O228="TRUE"),"Yes",""),"")</f>
      </c>
      <c r="Q228" s="62" t="s">
        <v>98</v>
      </c>
      <c r="R228" s="63"/>
    </row>
    <row r="229" spans="1:18" s="47" customFormat="1" ht="51">
      <c r="A229" s="63" t="s">
        <v>532</v>
      </c>
      <c r="B229" s="63" t="s">
        <v>96</v>
      </c>
      <c r="C229" s="63" t="s">
        <v>533</v>
      </c>
      <c r="D229" s="61"/>
      <c r="E229" s="45">
        <v>0.0152</v>
      </c>
      <c r="F229" s="45">
        <v>0.0152</v>
      </c>
      <c r="G229" s="66">
        <v>46092</v>
      </c>
      <c r="H229" s="45" t="str">
        <f>IF(ISNUMBER(E229),F229-E229,"N/A")</f>
        <v>N/A</v>
      </c>
      <c r="I229" s="46" t="str">
        <f>IF(E229&lt;&gt;"",IF(F229=E229,"No Change",IF(F229&gt;E229,"Increase","Decrease")),"New")</f>
        <v>Increase</v>
      </c>
      <c r="J229" s="58"/>
      <c r="K229" s="59" t="str">
        <f>IF(LEN(J229)&gt;0,IF(OR(ISLOGICAL(J229),J229="TRUE"),"Yes",""),"")</f>
      </c>
      <c r="L229" s="59"/>
      <c r="M229" s="59"/>
      <c r="N229" s="62" t="str">
        <f>IF(LEN(M229)&gt;0,IF(OR(ISLOGICAL(M229),M229="TRUE"),"Yes",""),"")</f>
      </c>
      <c r="O229" s="59"/>
      <c r="P229" s="62" t="str">
        <f>IF(LEN(O229)&gt;0,IF(OR(ISLOGICAL(O229),O229="TRUE"),"Yes",""),"")</f>
      </c>
      <c r="Q229" s="62" t="s">
        <v>98</v>
      </c>
      <c r="R229" s="63"/>
    </row>
    <row r="230" spans="1:18" s="47" customFormat="1" ht="51">
      <c r="A230" s="63" t="s">
        <v>534</v>
      </c>
      <c r="B230" s="63" t="s">
        <v>96</v>
      </c>
      <c r="C230" s="63" t="s">
        <v>535</v>
      </c>
      <c r="D230" s="61"/>
      <c r="E230" s="45">
        <v>0.0152</v>
      </c>
      <c r="F230" s="45">
        <v>0.0152</v>
      </c>
      <c r="G230" s="66">
        <v>46078</v>
      </c>
      <c r="H230" s="45" t="str">
        <f>IF(ISNUMBER(E230),F230-E230,"N/A")</f>
        <v>N/A</v>
      </c>
      <c r="I230" s="46" t="str">
        <f>IF(E230&lt;&gt;"",IF(F230=E230,"No Change",IF(F230&gt;E230,"Increase","Decrease")),"New")</f>
        <v>Increase</v>
      </c>
      <c r="J230" s="58"/>
      <c r="K230" s="59" t="str">
        <f>IF(LEN(J230)&gt;0,IF(OR(ISLOGICAL(J230),J230="TRUE"),"Yes",""),"")</f>
      </c>
      <c r="L230" s="59"/>
      <c r="M230" s="59"/>
      <c r="N230" s="62" t="str">
        <f>IF(LEN(M230)&gt;0,IF(OR(ISLOGICAL(M230),M230="TRUE"),"Yes",""),"")</f>
      </c>
      <c r="O230" s="59"/>
      <c r="P230" s="62" t="str">
        <f>IF(LEN(O230)&gt;0,IF(OR(ISLOGICAL(O230),O230="TRUE"),"Yes",""),"")</f>
      </c>
      <c r="Q230" s="62" t="s">
        <v>98</v>
      </c>
      <c r="R230" s="63"/>
    </row>
    <row r="231" spans="1:18" s="47" customFormat="1" ht="51">
      <c r="A231" s="63" t="s">
        <v>536</v>
      </c>
      <c r="B231" s="63" t="s">
        <v>96</v>
      </c>
      <c r="C231" s="63" t="s">
        <v>537</v>
      </c>
      <c r="D231" s="61"/>
      <c r="E231" s="45">
        <v>2</v>
      </c>
      <c r="F231" s="45">
        <v>2</v>
      </c>
      <c r="G231" s="66">
        <v>45868</v>
      </c>
      <c r="H231" s="45" t="str">
        <f>IF(ISNUMBER(E231),F231-E231,"N/A")</f>
        <v>N/A</v>
      </c>
      <c r="I231" s="46" t="str">
        <f>IF(E231&lt;&gt;"",IF(F231=E231,"No Change",IF(F231&gt;E231,"Increase","Decrease")),"New")</f>
        <v>Increase</v>
      </c>
      <c r="J231" s="58"/>
      <c r="K231" s="59" t="str">
        <f>IF(LEN(J231)&gt;0,IF(OR(ISLOGICAL(J231),J231="TRUE"),"Yes",""),"")</f>
      </c>
      <c r="L231" s="59"/>
      <c r="M231" s="59"/>
      <c r="N231" s="62" t="str">
        <f>IF(LEN(M231)&gt;0,IF(OR(ISLOGICAL(M231),M231="TRUE"),"Yes",""),"")</f>
      </c>
      <c r="O231" s="59"/>
      <c r="P231" s="62" t="str">
        <f>IF(LEN(O231)&gt;0,IF(OR(ISLOGICAL(O231),O231="TRUE"),"Yes",""),"")</f>
      </c>
      <c r="Q231" s="62" t="s">
        <v>104</v>
      </c>
      <c r="R231" s="63"/>
    </row>
    <row r="232" spans="1:18" s="47" customFormat="1" ht="51">
      <c r="A232" s="63" t="s">
        <v>538</v>
      </c>
      <c r="B232" s="63" t="s">
        <v>96</v>
      </c>
      <c r="C232" s="63" t="s">
        <v>539</v>
      </c>
      <c r="D232" s="61"/>
      <c r="E232" s="45">
        <v>2</v>
      </c>
      <c r="F232" s="45">
        <v>2</v>
      </c>
      <c r="G232" s="66">
        <v>45868</v>
      </c>
      <c r="H232" s="45" t="str">
        <f>IF(ISNUMBER(E232),F232-E232,"N/A")</f>
        <v>N/A</v>
      </c>
      <c r="I232" s="46" t="str">
        <f>IF(E232&lt;&gt;"",IF(F232=E232,"No Change",IF(F232&gt;E232,"Increase","Decrease")),"New")</f>
        <v>Increase</v>
      </c>
      <c r="J232" s="58"/>
      <c r="K232" s="59" t="str">
        <f>IF(LEN(J232)&gt;0,IF(OR(ISLOGICAL(J232),J232="TRUE"),"Yes",""),"")</f>
      </c>
      <c r="L232" s="59"/>
      <c r="M232" s="59"/>
      <c r="N232" s="62" t="str">
        <f>IF(LEN(M232)&gt;0,IF(OR(ISLOGICAL(M232),M232="TRUE"),"Yes",""),"")</f>
      </c>
      <c r="O232" s="59"/>
      <c r="P232" s="62" t="str">
        <f>IF(LEN(O232)&gt;0,IF(OR(ISLOGICAL(O232),O232="TRUE"),"Yes",""),"")</f>
      </c>
      <c r="Q232" s="62" t="s">
        <v>104</v>
      </c>
      <c r="R232" s="63"/>
    </row>
    <row r="233" spans="1:18" s="47" customFormat="1" ht="51">
      <c r="A233" s="63" t="s">
        <v>540</v>
      </c>
      <c r="B233" s="63" t="s">
        <v>96</v>
      </c>
      <c r="C233" s="63" t="s">
        <v>541</v>
      </c>
      <c r="D233" s="61"/>
      <c r="E233" s="45">
        <v>2</v>
      </c>
      <c r="F233" s="45">
        <v>2</v>
      </c>
      <c r="G233" s="66">
        <v>45868</v>
      </c>
      <c r="H233" s="45" t="str">
        <f>IF(ISNUMBER(E233),F233-E233,"N/A")</f>
        <v>N/A</v>
      </c>
      <c r="I233" s="46" t="str">
        <f>IF(E233&lt;&gt;"",IF(F233=E233,"No Change",IF(F233&gt;E233,"Increase","Decrease")),"New")</f>
        <v>Increase</v>
      </c>
      <c r="J233" s="58" t="s">
        <v>122</v>
      </c>
      <c r="K233" s="59" t="str">
        <f>IF(LEN(J233)&gt;0,IF(OR(ISLOGICAL(J233),J233="TRUE"),"Yes",""),"")</f>
      </c>
      <c r="L233" s="59"/>
      <c r="M233" s="59"/>
      <c r="N233" s="62" t="str">
        <f>IF(LEN(M233)&gt;0,IF(OR(ISLOGICAL(M233),M233="TRUE"),"Yes",""),"")</f>
      </c>
      <c r="O233" s="59"/>
      <c r="P233" s="62" t="str">
        <f>IF(LEN(O233)&gt;0,IF(OR(ISLOGICAL(O233),O233="TRUE"),"Yes",""),"")</f>
      </c>
      <c r="Q233" s="62" t="s">
        <v>104</v>
      </c>
      <c r="R233" s="63"/>
    </row>
    <row r="234" spans="1:18" s="47" customFormat="1" ht="51">
      <c r="A234" s="63" t="s">
        <v>542</v>
      </c>
      <c r="B234" s="63" t="s">
        <v>96</v>
      </c>
      <c r="C234" s="63" t="s">
        <v>543</v>
      </c>
      <c r="D234" s="61"/>
      <c r="E234" s="45">
        <v>2</v>
      </c>
      <c r="F234" s="45">
        <v>2</v>
      </c>
      <c r="G234" s="66">
        <v>45868</v>
      </c>
      <c r="H234" s="45" t="str">
        <f>IF(ISNUMBER(E234),F234-E234,"N/A")</f>
        <v>N/A</v>
      </c>
      <c r="I234" s="46" t="str">
        <f>IF(E234&lt;&gt;"",IF(F234=E234,"No Change",IF(F234&gt;E234,"Increase","Decrease")),"New")</f>
        <v>Increase</v>
      </c>
      <c r="J234" s="58"/>
      <c r="K234" s="59" t="str">
        <f>IF(LEN(J234)&gt;0,IF(OR(ISLOGICAL(J234),J234="TRUE"),"Yes",""),"")</f>
      </c>
      <c r="L234" s="59"/>
      <c r="M234" s="59"/>
      <c r="N234" s="62" t="str">
        <f>IF(LEN(M234)&gt;0,IF(OR(ISLOGICAL(M234),M234="TRUE"),"Yes",""),"")</f>
      </c>
      <c r="O234" s="59"/>
      <c r="P234" s="62" t="str">
        <f>IF(LEN(O234)&gt;0,IF(OR(ISLOGICAL(O234),O234="TRUE"),"Yes",""),"")</f>
      </c>
      <c r="Q234" s="62" t="s">
        <v>104</v>
      </c>
      <c r="R234" s="63"/>
    </row>
    <row r="235" spans="1:18" s="47" customFormat="1" ht="51">
      <c r="A235" s="63" t="s">
        <v>544</v>
      </c>
      <c r="B235" s="63" t="s">
        <v>96</v>
      </c>
      <c r="C235" s="63" t="s">
        <v>545</v>
      </c>
      <c r="D235" s="61"/>
      <c r="E235" s="45">
        <v>2</v>
      </c>
      <c r="F235" s="45">
        <v>2</v>
      </c>
      <c r="G235" s="66">
        <v>45868</v>
      </c>
      <c r="H235" s="45" t="str">
        <f>IF(ISNUMBER(E235),F235-E235,"N/A")</f>
        <v>N/A</v>
      </c>
      <c r="I235" s="46" t="str">
        <f>IF(E235&lt;&gt;"",IF(F235=E235,"No Change",IF(F235&gt;E235,"Increase","Decrease")),"New")</f>
        <v>Increase</v>
      </c>
      <c r="J235" s="58"/>
      <c r="K235" s="59" t="str">
        <f>IF(LEN(J235)&gt;0,IF(OR(ISLOGICAL(J235),J235="TRUE"),"Yes",""),"")</f>
      </c>
      <c r="L235" s="59"/>
      <c r="M235" s="59"/>
      <c r="N235" s="62" t="str">
        <f>IF(LEN(M235)&gt;0,IF(OR(ISLOGICAL(M235),M235="TRUE"),"Yes",""),"")</f>
      </c>
      <c r="O235" s="59"/>
      <c r="P235" s="62" t="str">
        <f>IF(LEN(O235)&gt;0,IF(OR(ISLOGICAL(O235),O235="TRUE"),"Yes",""),"")</f>
      </c>
      <c r="Q235" s="62" t="s">
        <v>104</v>
      </c>
      <c r="R235" s="63"/>
    </row>
    <row r="236" spans="1:18" s="47" customFormat="1" ht="51">
      <c r="A236" s="63" t="s">
        <v>546</v>
      </c>
      <c r="B236" s="63" t="s">
        <v>96</v>
      </c>
      <c r="C236" s="63" t="s">
        <v>547</v>
      </c>
      <c r="D236" s="61"/>
      <c r="E236" s="45">
        <v>0.0049</v>
      </c>
      <c r="F236" s="45">
        <v>0.0049</v>
      </c>
      <c r="G236" s="66">
        <v>46050</v>
      </c>
      <c r="H236" s="45" t="str">
        <f>IF(ISNUMBER(E236),F236-E236,"N/A")</f>
        <v>N/A</v>
      </c>
      <c r="I236" s="46" t="str">
        <f>IF(E236&lt;&gt;"",IF(F236=E236,"No Change",IF(F236&gt;E236,"Increase","Decrease")),"New")</f>
        <v>Increase</v>
      </c>
      <c r="J236" s="58"/>
      <c r="K236" s="59" t="str">
        <f>IF(LEN(J236)&gt;0,IF(OR(ISLOGICAL(J236),J236="TRUE"),"Yes",""),"")</f>
      </c>
      <c r="L236" s="59"/>
      <c r="M236" s="59"/>
      <c r="N236" s="62" t="str">
        <f>IF(LEN(M236)&gt;0,IF(OR(ISLOGICAL(M236),M236="TRUE"),"Yes",""),"")</f>
      </c>
      <c r="O236" s="59"/>
      <c r="P236" s="62" t="str">
        <f>IF(LEN(O236)&gt;0,IF(OR(ISLOGICAL(O236),O236="TRUE"),"Yes",""),"")</f>
      </c>
      <c r="Q236" s="62" t="s">
        <v>98</v>
      </c>
      <c r="R236" s="63"/>
    </row>
    <row r="237" spans="1:18" s="47" customFormat="1" ht="51">
      <c r="A237" s="63" t="s">
        <v>548</v>
      </c>
      <c r="B237" s="63" t="s">
        <v>96</v>
      </c>
      <c r="C237" s="63" t="s">
        <v>549</v>
      </c>
      <c r="D237" s="61"/>
      <c r="E237" s="45">
        <v>0.0022</v>
      </c>
      <c r="F237" s="45">
        <v>0.0022</v>
      </c>
      <c r="G237" s="66">
        <v>46082</v>
      </c>
      <c r="H237" s="45" t="str">
        <f>IF(ISNUMBER(E237),F237-E237,"N/A")</f>
        <v>N/A</v>
      </c>
      <c r="I237" s="46" t="str">
        <f>IF(E237&lt;&gt;"",IF(F237=E237,"No Change",IF(F237&gt;E237,"Increase","Decrease")),"New")</f>
        <v>Increase</v>
      </c>
      <c r="J237" s="58"/>
      <c r="K237" s="59" t="str">
        <f>IF(LEN(J237)&gt;0,IF(OR(ISLOGICAL(J237),J237="TRUE"),"Yes",""),"")</f>
      </c>
      <c r="L237" s="59"/>
      <c r="M237" s="59"/>
      <c r="N237" s="62" t="str">
        <f>IF(LEN(M237)&gt;0,IF(OR(ISLOGICAL(M237),M237="TRUE"),"Yes",""),"")</f>
      </c>
      <c r="O237" s="59"/>
      <c r="P237" s="62" t="str">
        <f>IF(LEN(O237)&gt;0,IF(OR(ISLOGICAL(O237),O237="TRUE"),"Yes",""),"")</f>
      </c>
      <c r="Q237" s="62" t="s">
        <v>98</v>
      </c>
      <c r="R237" s="63"/>
    </row>
    <row r="238" spans="1:18" s="47" customFormat="1" ht="51">
      <c r="A238" s="63" t="s">
        <v>550</v>
      </c>
      <c r="B238" s="63" t="s">
        <v>96</v>
      </c>
      <c r="C238" s="63" t="s">
        <v>551</v>
      </c>
      <c r="D238" s="61"/>
      <c r="E238" s="45">
        <v>0.0022</v>
      </c>
      <c r="F238" s="45">
        <v>0.0022</v>
      </c>
      <c r="G238" s="66">
        <v>46036</v>
      </c>
      <c r="H238" s="45" t="str">
        <f>IF(ISNUMBER(E238),F238-E238,"N/A")</f>
        <v>N/A</v>
      </c>
      <c r="I238" s="46" t="str">
        <f>IF(E238&lt;&gt;"",IF(F238=E238,"No Change",IF(F238&gt;E238,"Increase","Decrease")),"New")</f>
        <v>Increase</v>
      </c>
      <c r="J238" s="58" t="s">
        <v>122</v>
      </c>
      <c r="K238" s="59" t="str">
        <f>IF(LEN(J238)&gt;0,IF(OR(ISLOGICAL(J238),J238="TRUE"),"Yes",""),"")</f>
      </c>
      <c r="L238" s="59"/>
      <c r="M238" s="59"/>
      <c r="N238" s="62" t="str">
        <f>IF(LEN(M238)&gt;0,IF(OR(ISLOGICAL(M238),M238="TRUE"),"Yes",""),"")</f>
      </c>
      <c r="O238" s="59"/>
      <c r="P238" s="62" t="str">
        <f>IF(LEN(O238)&gt;0,IF(OR(ISLOGICAL(O238),O238="TRUE"),"Yes",""),"")</f>
      </c>
      <c r="Q238" s="62" t="s">
        <v>98</v>
      </c>
      <c r="R238" s="63"/>
    </row>
    <row r="239" spans="1:18" s="47" customFormat="1" ht="51">
      <c r="A239" s="63" t="s">
        <v>552</v>
      </c>
      <c r="B239" s="63" t="s">
        <v>96</v>
      </c>
      <c r="C239" s="63" t="s">
        <v>553</v>
      </c>
      <c r="D239" s="61"/>
      <c r="E239" s="45">
        <v>0.0022</v>
      </c>
      <c r="F239" s="45">
        <v>0.0022</v>
      </c>
      <c r="G239" s="66">
        <v>46078</v>
      </c>
      <c r="H239" s="45" t="str">
        <f>IF(ISNUMBER(E239),F239-E239,"N/A")</f>
        <v>N/A</v>
      </c>
      <c r="I239" s="46" t="str">
        <f>IF(E239&lt;&gt;"",IF(F239=E239,"No Change",IF(F239&gt;E239,"Increase","Decrease")),"New")</f>
        <v>Increase</v>
      </c>
      <c r="J239" s="58" t="s">
        <v>122</v>
      </c>
      <c r="K239" s="59" t="str">
        <f>IF(LEN(J239)&gt;0,IF(OR(ISLOGICAL(J239),J239="TRUE"),"Yes",""),"")</f>
      </c>
      <c r="L239" s="59"/>
      <c r="M239" s="59"/>
      <c r="N239" s="62" t="str">
        <f>IF(LEN(M239)&gt;0,IF(OR(ISLOGICAL(M239),M239="TRUE"),"Yes",""),"")</f>
      </c>
      <c r="O239" s="59"/>
      <c r="P239" s="62" t="str">
        <f>IF(LEN(O239)&gt;0,IF(OR(ISLOGICAL(O239),O239="TRUE"),"Yes",""),"")</f>
      </c>
      <c r="Q239" s="62" t="s">
        <v>98</v>
      </c>
      <c r="R239" s="63"/>
    </row>
    <row r="240" spans="1:18" s="47" customFormat="1" ht="51">
      <c r="A240" s="63" t="s">
        <v>554</v>
      </c>
      <c r="B240" s="63" t="s">
        <v>96</v>
      </c>
      <c r="C240" s="63" t="s">
        <v>555</v>
      </c>
      <c r="D240" s="61"/>
      <c r="E240" s="45">
        <v>0.0022</v>
      </c>
      <c r="F240" s="45">
        <v>0.0022</v>
      </c>
      <c r="G240" s="66">
        <v>46078</v>
      </c>
      <c r="H240" s="45" t="str">
        <f>IF(ISNUMBER(E240),F240-E240,"N/A")</f>
        <v>N/A</v>
      </c>
      <c r="I240" s="46" t="str">
        <f>IF(E240&lt;&gt;"",IF(F240=E240,"No Change",IF(F240&gt;E240,"Increase","Decrease")),"New")</f>
        <v>Increase</v>
      </c>
      <c r="J240" s="58"/>
      <c r="K240" s="59" t="str">
        <f>IF(LEN(J240)&gt;0,IF(OR(ISLOGICAL(J240),J240="TRUE"),"Yes",""),"")</f>
      </c>
      <c r="L240" s="59"/>
      <c r="M240" s="59"/>
      <c r="N240" s="62" t="str">
        <f>IF(LEN(M240)&gt;0,IF(OR(ISLOGICAL(M240),M240="TRUE"),"Yes",""),"")</f>
      </c>
      <c r="O240" s="59"/>
      <c r="P240" s="62" t="str">
        <f>IF(LEN(O240)&gt;0,IF(OR(ISLOGICAL(O240),O240="TRUE"),"Yes",""),"")</f>
      </c>
      <c r="Q240" s="62" t="s">
        <v>98</v>
      </c>
      <c r="R240" s="63"/>
    </row>
    <row r="241" spans="1:18" s="47" customFormat="1" ht="51">
      <c r="A241" s="63" t="s">
        <v>556</v>
      </c>
      <c r="B241" s="63" t="s">
        <v>96</v>
      </c>
      <c r="C241" s="63" t="s">
        <v>557</v>
      </c>
      <c r="D241" s="61"/>
      <c r="E241" s="45">
        <v>0.0022</v>
      </c>
      <c r="F241" s="45">
        <v>0.0022</v>
      </c>
      <c r="G241" s="66">
        <v>46078</v>
      </c>
      <c r="H241" s="45" t="str">
        <f>IF(ISNUMBER(E241),F241-E241,"N/A")</f>
        <v>N/A</v>
      </c>
      <c r="I241" s="46" t="str">
        <f>IF(E241&lt;&gt;"",IF(F241=E241,"No Change",IF(F241&gt;E241,"Increase","Decrease")),"New")</f>
        <v>Increase</v>
      </c>
      <c r="J241" s="58" t="s">
        <v>122</v>
      </c>
      <c r="K241" s="59" t="str">
        <f>IF(LEN(J241)&gt;0,IF(OR(ISLOGICAL(J241),J241="TRUE"),"Yes",""),"")</f>
      </c>
      <c r="L241" s="59"/>
      <c r="M241" s="59"/>
      <c r="N241" s="62" t="str">
        <f>IF(LEN(M241)&gt;0,IF(OR(ISLOGICAL(M241),M241="TRUE"),"Yes",""),"")</f>
      </c>
      <c r="O241" s="59"/>
      <c r="P241" s="62" t="str">
        <f>IF(LEN(O241)&gt;0,IF(OR(ISLOGICAL(O241),O241="TRUE"),"Yes",""),"")</f>
      </c>
      <c r="Q241" s="62" t="s">
        <v>98</v>
      </c>
      <c r="R241" s="63"/>
    </row>
    <row r="242" spans="1:18" s="47" customFormat="1" ht="51">
      <c r="A242" s="63" t="s">
        <v>558</v>
      </c>
      <c r="B242" s="63" t="s">
        <v>96</v>
      </c>
      <c r="C242" s="63" t="s">
        <v>559</v>
      </c>
      <c r="D242" s="61"/>
      <c r="E242" s="45">
        <v>0.5885</v>
      </c>
      <c r="F242" s="45">
        <v>0.5885</v>
      </c>
      <c r="G242" s="66">
        <v>46074</v>
      </c>
      <c r="H242" s="45" t="str">
        <f>IF(ISNUMBER(E242),F242-E242,"N/A")</f>
        <v>N/A</v>
      </c>
      <c r="I242" s="46" t="str">
        <f>IF(E242&lt;&gt;"",IF(F242=E242,"No Change",IF(F242&gt;E242,"Increase","Decrease")),"New")</f>
        <v>Increase</v>
      </c>
      <c r="J242" s="58"/>
      <c r="K242" s="59" t="str">
        <f>IF(LEN(J242)&gt;0,IF(OR(ISLOGICAL(J242),J242="TRUE"),"Yes",""),"")</f>
      </c>
      <c r="L242" s="59"/>
      <c r="M242" s="59"/>
      <c r="N242" s="62" t="str">
        <f>IF(LEN(M242)&gt;0,IF(OR(ISLOGICAL(M242),M242="TRUE"),"Yes",""),"")</f>
      </c>
      <c r="O242" s="59"/>
      <c r="P242" s="62" t="str">
        <f>IF(LEN(O242)&gt;0,IF(OR(ISLOGICAL(O242),O242="TRUE"),"Yes",""),"")</f>
      </c>
      <c r="Q242" s="62" t="s">
        <v>109</v>
      </c>
      <c r="R242" s="63"/>
    </row>
    <row r="243" spans="1:18" s="47" customFormat="1" ht="51">
      <c r="A243" s="63" t="s">
        <v>560</v>
      </c>
      <c r="B243" s="63" t="s">
        <v>96</v>
      </c>
      <c r="C243" s="63" t="s">
        <v>561</v>
      </c>
      <c r="D243" s="61"/>
      <c r="E243" s="45">
        <v>0.5885</v>
      </c>
      <c r="F243" s="45">
        <v>0.5885</v>
      </c>
      <c r="G243" s="66">
        <v>46074</v>
      </c>
      <c r="H243" s="45" t="str">
        <f>IF(ISNUMBER(E243),F243-E243,"N/A")</f>
        <v>N/A</v>
      </c>
      <c r="I243" s="46" t="str">
        <f>IF(E243&lt;&gt;"",IF(F243=E243,"No Change",IF(F243&gt;E243,"Increase","Decrease")),"New")</f>
        <v>Increase</v>
      </c>
      <c r="J243" s="58"/>
      <c r="K243" s="59" t="str">
        <f>IF(LEN(J243)&gt;0,IF(OR(ISLOGICAL(J243),J243="TRUE"),"Yes",""),"")</f>
      </c>
      <c r="L243" s="59"/>
      <c r="M243" s="59"/>
      <c r="N243" s="62" t="str">
        <f>IF(LEN(M243)&gt;0,IF(OR(ISLOGICAL(M243),M243="TRUE"),"Yes",""),"")</f>
      </c>
      <c r="O243" s="59"/>
      <c r="P243" s="62" t="str">
        <f>IF(LEN(O243)&gt;0,IF(OR(ISLOGICAL(O243),O243="TRUE"),"Yes",""),"")</f>
      </c>
      <c r="Q243" s="62" t="s">
        <v>109</v>
      </c>
      <c r="R243" s="63"/>
    </row>
    <row r="244" spans="1:18" s="47" customFormat="1" ht="51">
      <c r="A244" s="63" t="s">
        <v>562</v>
      </c>
      <c r="B244" s="63" t="s">
        <v>96</v>
      </c>
      <c r="C244" s="63" t="s">
        <v>563</v>
      </c>
      <c r="D244" s="61"/>
      <c r="E244" s="45">
        <v>0.5885</v>
      </c>
      <c r="F244" s="45">
        <v>0.5885</v>
      </c>
      <c r="G244" s="66">
        <v>46082</v>
      </c>
      <c r="H244" s="45" t="str">
        <f>IF(ISNUMBER(E244),F244-E244,"N/A")</f>
        <v>N/A</v>
      </c>
      <c r="I244" s="46" t="str">
        <f>IF(E244&lt;&gt;"",IF(F244=E244,"No Change",IF(F244&gt;E244,"Increase","Decrease")),"New")</f>
        <v>Increase</v>
      </c>
      <c r="J244" s="58"/>
      <c r="K244" s="59" t="str">
        <f>IF(LEN(J244)&gt;0,IF(OR(ISLOGICAL(J244),J244="TRUE"),"Yes",""),"")</f>
      </c>
      <c r="L244" s="59"/>
      <c r="M244" s="59"/>
      <c r="N244" s="62" t="str">
        <f>IF(LEN(M244)&gt;0,IF(OR(ISLOGICAL(M244),M244="TRUE"),"Yes",""),"")</f>
      </c>
      <c r="O244" s="59"/>
      <c r="P244" s="62" t="str">
        <f>IF(LEN(O244)&gt;0,IF(OR(ISLOGICAL(O244),O244="TRUE"),"Yes",""),"")</f>
      </c>
      <c r="Q244" s="62" t="s">
        <v>109</v>
      </c>
      <c r="R244" s="63"/>
    </row>
    <row r="245" spans="1:18" s="47" customFormat="1" ht="51">
      <c r="A245" s="63" t="s">
        <v>564</v>
      </c>
      <c r="B245" s="63" t="s">
        <v>96</v>
      </c>
      <c r="C245" s="63" t="s">
        <v>565</v>
      </c>
      <c r="D245" s="61"/>
      <c r="E245" s="45">
        <v>0.8</v>
      </c>
      <c r="F245" s="45">
        <v>0.8</v>
      </c>
      <c r="G245" s="66">
        <v>46082</v>
      </c>
      <c r="H245" s="45" t="str">
        <f>IF(ISNUMBER(E245),F245-E245,"N/A")</f>
        <v>N/A</v>
      </c>
      <c r="I245" s="46" t="str">
        <f>IF(E245&lt;&gt;"",IF(F245=E245,"No Change",IF(F245&gt;E245,"Increase","Decrease")),"New")</f>
        <v>Increase</v>
      </c>
      <c r="J245" s="58"/>
      <c r="K245" s="59" t="str">
        <f>IF(LEN(J245)&gt;0,IF(OR(ISLOGICAL(J245),J245="TRUE"),"Yes",""),"")</f>
      </c>
      <c r="L245" s="59"/>
      <c r="M245" s="59"/>
      <c r="N245" s="62" t="str">
        <f>IF(LEN(M245)&gt;0,IF(OR(ISLOGICAL(M245),M245="TRUE"),"Yes",""),"")</f>
      </c>
      <c r="O245" s="59"/>
      <c r="P245" s="62" t="str">
        <f>IF(LEN(O245)&gt;0,IF(OR(ISLOGICAL(O245),O245="TRUE"),"Yes",""),"")</f>
      </c>
      <c r="Q245" s="62" t="s">
        <v>109</v>
      </c>
      <c r="R245" s="63"/>
    </row>
    <row r="246" spans="1:18" s="47" customFormat="1" ht="51">
      <c r="A246" s="63" t="s">
        <v>566</v>
      </c>
      <c r="B246" s="63" t="s">
        <v>96</v>
      </c>
      <c r="C246" s="63" t="s">
        <v>567</v>
      </c>
      <c r="D246" s="61"/>
      <c r="E246" s="45">
        <v>0.8</v>
      </c>
      <c r="F246" s="45">
        <v>0.8</v>
      </c>
      <c r="G246" s="66">
        <v>46082</v>
      </c>
      <c r="H246" s="45" t="str">
        <f>IF(ISNUMBER(E246),F246-E246,"N/A")</f>
        <v>N/A</v>
      </c>
      <c r="I246" s="46" t="str">
        <f>IF(E246&lt;&gt;"",IF(F246=E246,"No Change",IF(F246&gt;E246,"Increase","Decrease")),"New")</f>
        <v>Increase</v>
      </c>
      <c r="J246" s="58"/>
      <c r="K246" s="59" t="str">
        <f>IF(LEN(J246)&gt;0,IF(OR(ISLOGICAL(J246),J246="TRUE"),"Yes",""),"")</f>
      </c>
      <c r="L246" s="59"/>
      <c r="M246" s="59"/>
      <c r="N246" s="62" t="str">
        <f>IF(LEN(M246)&gt;0,IF(OR(ISLOGICAL(M246),M246="TRUE"),"Yes",""),"")</f>
      </c>
      <c r="O246" s="59"/>
      <c r="P246" s="62" t="str">
        <f>IF(LEN(O246)&gt;0,IF(OR(ISLOGICAL(O246),O246="TRUE"),"Yes",""),"")</f>
      </c>
      <c r="Q246" s="62" t="s">
        <v>109</v>
      </c>
      <c r="R246" s="63"/>
    </row>
    <row r="247" spans="1:18" s="47" customFormat="1" ht="51">
      <c r="A247" s="63" t="s">
        <v>568</v>
      </c>
      <c r="B247" s="63" t="s">
        <v>96</v>
      </c>
      <c r="C247" s="63" t="s">
        <v>569</v>
      </c>
      <c r="D247" s="61"/>
      <c r="E247" s="45">
        <v>0.379</v>
      </c>
      <c r="F247" s="45">
        <v>0.379</v>
      </c>
      <c r="G247" s="66">
        <v>46143</v>
      </c>
      <c r="H247" s="45" t="str">
        <f>IF(ISNUMBER(E247),F247-E247,"N/A")</f>
        <v>N/A</v>
      </c>
      <c r="I247" s="46" t="str">
        <f>IF(E247&lt;&gt;"",IF(F247=E247,"No Change",IF(F247&gt;E247,"Increase","Decrease")),"New")</f>
        <v>Increase</v>
      </c>
      <c r="J247" s="58"/>
      <c r="K247" s="59" t="str">
        <f>IF(LEN(J247)&gt;0,IF(OR(ISLOGICAL(J247),J247="TRUE"),"Yes",""),"")</f>
      </c>
      <c r="L247" s="59"/>
      <c r="M247" s="59"/>
      <c r="N247" s="62" t="str">
        <f>IF(LEN(M247)&gt;0,IF(OR(ISLOGICAL(M247),M247="TRUE"),"Yes",""),"")</f>
      </c>
      <c r="O247" s="59"/>
      <c r="P247" s="62" t="str">
        <f>IF(LEN(O247)&gt;0,IF(OR(ISLOGICAL(O247),O247="TRUE"),"Yes",""),"")</f>
      </c>
      <c r="Q247" s="62" t="s">
        <v>98</v>
      </c>
      <c r="R247" s="63"/>
    </row>
    <row r="248" spans="1:18" s="47" customFormat="1" ht="51">
      <c r="A248" s="63" t="s">
        <v>570</v>
      </c>
      <c r="B248" s="63" t="s">
        <v>96</v>
      </c>
      <c r="C248" s="63" t="s">
        <v>571</v>
      </c>
      <c r="D248" s="61"/>
      <c r="E248" s="45">
        <v>0.2265</v>
      </c>
      <c r="F248" s="45">
        <v>0.2265</v>
      </c>
      <c r="G248" s="66">
        <v>46143</v>
      </c>
      <c r="H248" s="45" t="str">
        <f>IF(ISNUMBER(E248),F248-E248,"N/A")</f>
        <v>N/A</v>
      </c>
      <c r="I248" s="46" t="str">
        <f>IF(E248&lt;&gt;"",IF(F248=E248,"No Change",IF(F248&gt;E248,"Increase","Decrease")),"New")</f>
        <v>Increase</v>
      </c>
      <c r="J248" s="58"/>
      <c r="K248" s="59" t="str">
        <f>IF(LEN(J248)&gt;0,IF(OR(ISLOGICAL(J248),J248="TRUE"),"Yes",""),"")</f>
      </c>
      <c r="L248" s="59"/>
      <c r="M248" s="59"/>
      <c r="N248" s="62" t="str">
        <f>IF(LEN(M248)&gt;0,IF(OR(ISLOGICAL(M248),M248="TRUE"),"Yes",""),"")</f>
      </c>
      <c r="O248" s="59"/>
      <c r="P248" s="62" t="str">
        <f>IF(LEN(O248)&gt;0,IF(OR(ISLOGICAL(O248),O248="TRUE"),"Yes",""),"")</f>
      </c>
      <c r="Q248" s="62" t="s">
        <v>98</v>
      </c>
      <c r="R248" s="63"/>
    </row>
    <row r="249" spans="1:18" s="47" customFormat="1" ht="51">
      <c r="A249" s="63" t="s">
        <v>572</v>
      </c>
      <c r="B249" s="63" t="s">
        <v>96</v>
      </c>
      <c r="C249" s="63" t="s">
        <v>573</v>
      </c>
      <c r="D249" s="61"/>
      <c r="E249" s="45">
        <v>0.355</v>
      </c>
      <c r="F249" s="45">
        <v>0.355</v>
      </c>
      <c r="G249" s="66">
        <v>46143</v>
      </c>
      <c r="H249" s="45" t="str">
        <f>IF(ISNUMBER(E249),F249-E249,"N/A")</f>
        <v>N/A</v>
      </c>
      <c r="I249" s="46" t="str">
        <f>IF(E249&lt;&gt;"",IF(F249=E249,"No Change",IF(F249&gt;E249,"Increase","Decrease")),"New")</f>
        <v>Increase</v>
      </c>
      <c r="J249" s="58"/>
      <c r="K249" s="59" t="str">
        <f>IF(LEN(J249)&gt;0,IF(OR(ISLOGICAL(J249),J249="TRUE"),"Yes",""),"")</f>
      </c>
      <c r="L249" s="59"/>
      <c r="M249" s="59"/>
      <c r="N249" s="62" t="str">
        <f>IF(LEN(M249)&gt;0,IF(OR(ISLOGICAL(M249),M249="TRUE"),"Yes",""),"")</f>
      </c>
      <c r="O249" s="59"/>
      <c r="P249" s="62" t="str">
        <f>IF(LEN(O249)&gt;0,IF(OR(ISLOGICAL(O249),O249="TRUE"),"Yes",""),"")</f>
      </c>
      <c r="Q249" s="62" t="s">
        <v>98</v>
      </c>
      <c r="R249" s="63"/>
    </row>
    <row r="250" spans="1:18" s="47" customFormat="1" ht="51">
      <c r="A250" s="63" t="s">
        <v>574</v>
      </c>
      <c r="B250" s="63" t="s">
        <v>96</v>
      </c>
      <c r="C250" s="63" t="s">
        <v>575</v>
      </c>
      <c r="D250" s="61"/>
      <c r="E250" s="45">
        <v>0.355</v>
      </c>
      <c r="F250" s="45">
        <v>0.355</v>
      </c>
      <c r="G250" s="66">
        <v>46120</v>
      </c>
      <c r="H250" s="45" t="str">
        <f>IF(ISNUMBER(E250),F250-E250,"N/A")</f>
        <v>N/A</v>
      </c>
      <c r="I250" s="46" t="str">
        <f>IF(E250&lt;&gt;"",IF(F250=E250,"No Change",IF(F250&gt;E250,"Increase","Decrease")),"New")</f>
        <v>Increase</v>
      </c>
      <c r="J250" s="58"/>
      <c r="K250" s="59" t="str">
        <f>IF(LEN(J250)&gt;0,IF(OR(ISLOGICAL(J250),J250="TRUE"),"Yes",""),"")</f>
      </c>
      <c r="L250" s="59"/>
      <c r="M250" s="59"/>
      <c r="N250" s="62" t="str">
        <f>IF(LEN(M250)&gt;0,IF(OR(ISLOGICAL(M250),M250="TRUE"),"Yes",""),"")</f>
      </c>
      <c r="O250" s="59"/>
      <c r="P250" s="62" t="str">
        <f>IF(LEN(O250)&gt;0,IF(OR(ISLOGICAL(O250),O250="TRUE"),"Yes",""),"")</f>
      </c>
      <c r="Q250" s="62" t="s">
        <v>104</v>
      </c>
      <c r="R250" s="63"/>
    </row>
    <row r="251" spans="1:18" s="47" customFormat="1" ht="51">
      <c r="A251" s="63" t="s">
        <v>576</v>
      </c>
      <c r="B251" s="63" t="s">
        <v>96</v>
      </c>
      <c r="C251" s="63" t="s">
        <v>577</v>
      </c>
      <c r="D251" s="61"/>
      <c r="E251" s="45">
        <v>0.355</v>
      </c>
      <c r="F251" s="45">
        <v>0.355</v>
      </c>
      <c r="G251" s="66">
        <v>46143</v>
      </c>
      <c r="H251" s="45" t="str">
        <f>IF(ISNUMBER(E251),F251-E251,"N/A")</f>
        <v>N/A</v>
      </c>
      <c r="I251" s="46" t="str">
        <f>IF(E251&lt;&gt;"",IF(F251=E251,"No Change",IF(F251&gt;E251,"Increase","Decrease")),"New")</f>
        <v>Increase</v>
      </c>
      <c r="J251" s="58"/>
      <c r="K251" s="59" t="str">
        <f>IF(LEN(J251)&gt;0,IF(OR(ISLOGICAL(J251),J251="TRUE"),"Yes",""),"")</f>
      </c>
      <c r="L251" s="59"/>
      <c r="M251" s="59"/>
      <c r="N251" s="62" t="str">
        <f>IF(LEN(M251)&gt;0,IF(OR(ISLOGICAL(M251),M251="TRUE"),"Yes",""),"")</f>
      </c>
      <c r="O251" s="59"/>
      <c r="P251" s="62" t="str">
        <f>IF(LEN(O251)&gt;0,IF(OR(ISLOGICAL(O251),O251="TRUE"),"Yes",""),"")</f>
      </c>
      <c r="Q251" s="62" t="s">
        <v>98</v>
      </c>
      <c r="R251" s="63"/>
    </row>
    <row r="252" spans="1:18" s="47" customFormat="1" ht="51">
      <c r="A252" s="63" t="s">
        <v>578</v>
      </c>
      <c r="B252" s="63" t="s">
        <v>96</v>
      </c>
      <c r="C252" s="63" t="s">
        <v>579</v>
      </c>
      <c r="D252" s="61"/>
      <c r="E252" s="45">
        <v>0.355</v>
      </c>
      <c r="F252" s="45">
        <v>0.355</v>
      </c>
      <c r="G252" s="66">
        <v>46082</v>
      </c>
      <c r="H252" s="45" t="str">
        <f>IF(ISNUMBER(E252),F252-E252,"N/A")</f>
        <v>N/A</v>
      </c>
      <c r="I252" s="46" t="str">
        <f>IF(E252&lt;&gt;"",IF(F252=E252,"No Change",IF(F252&gt;E252,"Increase","Decrease")),"New")</f>
        <v>Increase</v>
      </c>
      <c r="J252" s="58"/>
      <c r="K252" s="59" t="str">
        <f>IF(LEN(J252)&gt;0,IF(OR(ISLOGICAL(J252),J252="TRUE"),"Yes",""),"")</f>
      </c>
      <c r="L252" s="59"/>
      <c r="M252" s="59"/>
      <c r="N252" s="62" t="str">
        <f>IF(LEN(M252)&gt;0,IF(OR(ISLOGICAL(M252),M252="TRUE"),"Yes",""),"")</f>
      </c>
      <c r="O252" s="59"/>
      <c r="P252" s="62" t="str">
        <f>IF(LEN(O252)&gt;0,IF(OR(ISLOGICAL(O252),O252="TRUE"),"Yes",""),"")</f>
      </c>
      <c r="Q252" s="62" t="s">
        <v>98</v>
      </c>
      <c r="R252" s="63"/>
    </row>
    <row r="253" spans="1:18" s="47" customFormat="1" ht="51">
      <c r="A253" s="63" t="s">
        <v>580</v>
      </c>
      <c r="B253" s="63" t="s">
        <v>96</v>
      </c>
      <c r="C253" s="63" t="s">
        <v>581</v>
      </c>
      <c r="D253" s="61"/>
      <c r="E253" s="45">
        <v>0.3555</v>
      </c>
      <c r="F253" s="45">
        <v>0.3555</v>
      </c>
      <c r="G253" s="66">
        <v>46082</v>
      </c>
      <c r="H253" s="45" t="str">
        <f>IF(ISNUMBER(E253),F253-E253,"N/A")</f>
        <v>N/A</v>
      </c>
      <c r="I253" s="46" t="str">
        <f>IF(E253&lt;&gt;"",IF(F253=E253,"No Change",IF(F253&gt;E253,"Increase","Decrease")),"New")</f>
        <v>Increase</v>
      </c>
      <c r="J253" s="58" t="s">
        <v>122</v>
      </c>
      <c r="K253" s="59" t="str">
        <f>IF(LEN(J253)&gt;0,IF(OR(ISLOGICAL(J253),J253="TRUE"),"Yes",""),"")</f>
      </c>
      <c r="L253" s="59"/>
      <c r="M253" s="59"/>
      <c r="N253" s="62" t="str">
        <f>IF(LEN(M253)&gt;0,IF(OR(ISLOGICAL(M253),M253="TRUE"),"Yes",""),"")</f>
      </c>
      <c r="O253" s="59"/>
      <c r="P253" s="62" t="str">
        <f>IF(LEN(O253)&gt;0,IF(OR(ISLOGICAL(O253),O253="TRUE"),"Yes",""),"")</f>
      </c>
      <c r="Q253" s="62" t="s">
        <v>98</v>
      </c>
      <c r="R253" s="63"/>
    </row>
    <row r="254" spans="1:18" s="47" customFormat="1" ht="51">
      <c r="A254" s="63" t="s">
        <v>582</v>
      </c>
      <c r="B254" s="63" t="s">
        <v>96</v>
      </c>
      <c r="C254" s="63" t="s">
        <v>583</v>
      </c>
      <c r="D254" s="61"/>
      <c r="E254" s="45">
        <v>0.355</v>
      </c>
      <c r="F254" s="45">
        <v>0.355</v>
      </c>
      <c r="G254" s="66">
        <v>46113</v>
      </c>
      <c r="H254" s="45" t="str">
        <f>IF(ISNUMBER(E254),F254-E254,"N/A")</f>
        <v>N/A</v>
      </c>
      <c r="I254" s="46" t="str">
        <f>IF(E254&lt;&gt;"",IF(F254=E254,"No Change",IF(F254&gt;E254,"Increase","Decrease")),"New")</f>
        <v>Increase</v>
      </c>
      <c r="J254" s="58" t="s">
        <v>122</v>
      </c>
      <c r="K254" s="59" t="str">
        <f>IF(LEN(J254)&gt;0,IF(OR(ISLOGICAL(J254),J254="TRUE"),"Yes",""),"")</f>
      </c>
      <c r="L254" s="59"/>
      <c r="M254" s="59"/>
      <c r="N254" s="62" t="str">
        <f>IF(LEN(M254)&gt;0,IF(OR(ISLOGICAL(M254),M254="TRUE"),"Yes",""),"")</f>
      </c>
      <c r="O254" s="59"/>
      <c r="P254" s="62" t="str">
        <f>IF(LEN(O254)&gt;0,IF(OR(ISLOGICAL(O254),O254="TRUE"),"Yes",""),"")</f>
      </c>
      <c r="Q254" s="62" t="s">
        <v>98</v>
      </c>
      <c r="R254" s="63"/>
    </row>
    <row r="255" spans="1:18" s="47" customFormat="1" ht="51">
      <c r="A255" s="63" t="s">
        <v>584</v>
      </c>
      <c r="B255" s="63" t="s">
        <v>96</v>
      </c>
      <c r="C255" s="63" t="s">
        <v>585</v>
      </c>
      <c r="D255" s="61"/>
      <c r="E255" s="45">
        <v>0.2265</v>
      </c>
      <c r="F255" s="45">
        <v>0.2265</v>
      </c>
      <c r="G255" s="66">
        <v>46082</v>
      </c>
      <c r="H255" s="45" t="str">
        <f>IF(ISNUMBER(E255),F255-E255,"N/A")</f>
        <v>N/A</v>
      </c>
      <c r="I255" s="46" t="str">
        <f>IF(E255&lt;&gt;"",IF(F255=E255,"No Change",IF(F255&gt;E255,"Increase","Decrease")),"New")</f>
        <v>Increase</v>
      </c>
      <c r="J255" s="58"/>
      <c r="K255" s="59" t="str">
        <f>IF(LEN(J255)&gt;0,IF(OR(ISLOGICAL(J255),J255="TRUE"),"Yes",""),"")</f>
      </c>
      <c r="L255" s="59"/>
      <c r="M255" s="59"/>
      <c r="N255" s="62" t="str">
        <f>IF(LEN(M255)&gt;0,IF(OR(ISLOGICAL(M255),M255="TRUE"),"Yes",""),"")</f>
      </c>
      <c r="O255" s="59"/>
      <c r="P255" s="62" t="str">
        <f>IF(LEN(O255)&gt;0,IF(OR(ISLOGICAL(O255),O255="TRUE"),"Yes",""),"")</f>
      </c>
      <c r="Q255" s="62" t="s">
        <v>98</v>
      </c>
      <c r="R255" s="63"/>
    </row>
    <row r="256" spans="1:18" s="47" customFormat="1" ht="51">
      <c r="A256" s="63" t="s">
        <v>586</v>
      </c>
      <c r="B256" s="63" t="s">
        <v>96</v>
      </c>
      <c r="C256" s="63" t="s">
        <v>587</v>
      </c>
      <c r="D256" s="61"/>
      <c r="E256" s="45">
        <v>0.2265</v>
      </c>
      <c r="F256" s="45">
        <v>0.2265</v>
      </c>
      <c r="G256" s="66">
        <v>46078</v>
      </c>
      <c r="H256" s="45" t="str">
        <f>IF(ISNUMBER(E256),F256-E256,"N/A")</f>
        <v>N/A</v>
      </c>
      <c r="I256" s="46" t="str">
        <f>IF(E256&lt;&gt;"",IF(F256=E256,"No Change",IF(F256&gt;E256,"Increase","Decrease")),"New")</f>
        <v>Increase</v>
      </c>
      <c r="J256" s="58"/>
      <c r="K256" s="59" t="str">
        <f>IF(LEN(J256)&gt;0,IF(OR(ISLOGICAL(J256),J256="TRUE"),"Yes",""),"")</f>
      </c>
      <c r="L256" s="59"/>
      <c r="M256" s="59"/>
      <c r="N256" s="62" t="str">
        <f>IF(LEN(M256)&gt;0,IF(OR(ISLOGICAL(M256),M256="TRUE"),"Yes",""),"")</f>
      </c>
      <c r="O256" s="59"/>
      <c r="P256" s="62" t="str">
        <f>IF(LEN(O256)&gt;0,IF(OR(ISLOGICAL(O256),O256="TRUE"),"Yes",""),"")</f>
      </c>
      <c r="Q256" s="62" t="s">
        <v>98</v>
      </c>
      <c r="R256" s="63"/>
    </row>
    <row r="257" spans="1:18" s="47" customFormat="1" ht="51">
      <c r="A257" s="63" t="s">
        <v>588</v>
      </c>
      <c r="B257" s="63" t="s">
        <v>96</v>
      </c>
      <c r="C257" s="63" t="s">
        <v>589</v>
      </c>
      <c r="D257" s="61"/>
      <c r="E257" s="45">
        <v>0.379</v>
      </c>
      <c r="F257" s="45">
        <v>0.379</v>
      </c>
      <c r="G257" s="66">
        <v>46113</v>
      </c>
      <c r="H257" s="45" t="str">
        <f>IF(ISNUMBER(E257),F257-E257,"N/A")</f>
        <v>N/A</v>
      </c>
      <c r="I257" s="46" t="str">
        <f>IF(E257&lt;&gt;"",IF(F257=E257,"No Change",IF(F257&gt;E257,"Increase","Decrease")),"New")</f>
        <v>Increase</v>
      </c>
      <c r="J257" s="58"/>
      <c r="K257" s="59" t="str">
        <f>IF(LEN(J257)&gt;0,IF(OR(ISLOGICAL(J257),J257="TRUE"),"Yes",""),"")</f>
      </c>
      <c r="L257" s="59"/>
      <c r="M257" s="59"/>
      <c r="N257" s="62" t="str">
        <f>IF(LEN(M257)&gt;0,IF(OR(ISLOGICAL(M257),M257="TRUE"),"Yes",""),"")</f>
      </c>
      <c r="O257" s="59"/>
      <c r="P257" s="62" t="str">
        <f>IF(LEN(O257)&gt;0,IF(OR(ISLOGICAL(O257),O257="TRUE"),"Yes",""),"")</f>
      </c>
      <c r="Q257" s="62" t="s">
        <v>98</v>
      </c>
      <c r="R257" s="63"/>
    </row>
    <row r="258" spans="1:18" s="47" customFormat="1" ht="51">
      <c r="A258" s="63" t="s">
        <v>590</v>
      </c>
      <c r="B258" s="63" t="s">
        <v>96</v>
      </c>
      <c r="C258" s="63" t="s">
        <v>591</v>
      </c>
      <c r="D258" s="61"/>
      <c r="E258" s="45">
        <v>0.379</v>
      </c>
      <c r="F258" s="45">
        <v>0.379</v>
      </c>
      <c r="G258" s="66">
        <v>46113</v>
      </c>
      <c r="H258" s="45" t="str">
        <f>IF(ISNUMBER(E258),F258-E258,"N/A")</f>
        <v>N/A</v>
      </c>
      <c r="I258" s="46" t="str">
        <f>IF(E258&lt;&gt;"",IF(F258=E258,"No Change",IF(F258&gt;E258,"Increase","Decrease")),"New")</f>
        <v>Increase</v>
      </c>
      <c r="J258" s="58"/>
      <c r="K258" s="59" t="str">
        <f>IF(LEN(J258)&gt;0,IF(OR(ISLOGICAL(J258),J258="TRUE"),"Yes",""),"")</f>
      </c>
      <c r="L258" s="59"/>
      <c r="M258" s="59"/>
      <c r="N258" s="62" t="str">
        <f>IF(LEN(M258)&gt;0,IF(OR(ISLOGICAL(M258),M258="TRUE"),"Yes",""),"")</f>
      </c>
      <c r="O258" s="59"/>
      <c r="P258" s="62" t="str">
        <f>IF(LEN(O258)&gt;0,IF(OR(ISLOGICAL(O258),O258="TRUE"),"Yes",""),"")</f>
      </c>
      <c r="Q258" s="62" t="s">
        <v>98</v>
      </c>
      <c r="R258" s="63"/>
    </row>
    <row r="259" spans="1:18" s="47" customFormat="1" ht="51">
      <c r="A259" s="63" t="s">
        <v>592</v>
      </c>
      <c r="B259" s="63" t="s">
        <v>96</v>
      </c>
      <c r="C259" s="63" t="s">
        <v>593</v>
      </c>
      <c r="D259" s="61"/>
      <c r="E259" s="45">
        <v>0.379</v>
      </c>
      <c r="F259" s="45">
        <v>0.379</v>
      </c>
      <c r="G259" s="66">
        <v>46113</v>
      </c>
      <c r="H259" s="45" t="str">
        <f>IF(ISNUMBER(E259),F259-E259,"N/A")</f>
        <v>N/A</v>
      </c>
      <c r="I259" s="46" t="str">
        <f>IF(E259&lt;&gt;"",IF(F259=E259,"No Change",IF(F259&gt;E259,"Increase","Decrease")),"New")</f>
        <v>Increase</v>
      </c>
      <c r="J259" s="58"/>
      <c r="K259" s="59" t="str">
        <f>IF(LEN(J259)&gt;0,IF(OR(ISLOGICAL(J259),J259="TRUE"),"Yes",""),"")</f>
      </c>
      <c r="L259" s="59"/>
      <c r="M259" s="59"/>
      <c r="N259" s="62" t="str">
        <f>IF(LEN(M259)&gt;0,IF(OR(ISLOGICAL(M259),M259="TRUE"),"Yes",""),"")</f>
      </c>
      <c r="O259" s="59"/>
      <c r="P259" s="62" t="str">
        <f>IF(LEN(O259)&gt;0,IF(OR(ISLOGICAL(O259),O259="TRUE"),"Yes",""),"")</f>
      </c>
      <c r="Q259" s="62" t="s">
        <v>98</v>
      </c>
      <c r="R259" s="63"/>
    </row>
    <row r="260" spans="1:18" s="47" customFormat="1" ht="51">
      <c r="A260" s="63" t="s">
        <v>594</v>
      </c>
      <c r="B260" s="63" t="s">
        <v>96</v>
      </c>
      <c r="C260" s="63" t="s">
        <v>595</v>
      </c>
      <c r="D260" s="61"/>
      <c r="E260" s="45">
        <v>0.45</v>
      </c>
      <c r="F260" s="45">
        <v>0.45</v>
      </c>
      <c r="G260" s="66">
        <v>46082</v>
      </c>
      <c r="H260" s="45" t="str">
        <f>IF(ISNUMBER(E260),F260-E260,"N/A")</f>
        <v>N/A</v>
      </c>
      <c r="I260" s="46" t="str">
        <f>IF(E260&lt;&gt;"",IF(F260=E260,"No Change",IF(F260&gt;E260,"Increase","Decrease")),"New")</f>
        <v>Increase</v>
      </c>
      <c r="J260" s="58"/>
      <c r="K260" s="59" t="str">
        <f>IF(LEN(J260)&gt;0,IF(OR(ISLOGICAL(J260),J260="TRUE"),"Yes",""),"")</f>
      </c>
      <c r="L260" s="59"/>
      <c r="M260" s="59"/>
      <c r="N260" s="62" t="str">
        <f>IF(LEN(M260)&gt;0,IF(OR(ISLOGICAL(M260),M260="TRUE"),"Yes",""),"")</f>
      </c>
      <c r="O260" s="59"/>
      <c r="P260" s="62" t="str">
        <f>IF(LEN(O260)&gt;0,IF(OR(ISLOGICAL(O260),O260="TRUE"),"Yes",""),"")</f>
      </c>
      <c r="Q260" s="62" t="s">
        <v>98</v>
      </c>
      <c r="R260" s="63"/>
    </row>
    <row r="261" spans="1:18" s="47" customFormat="1" ht="51">
      <c r="A261" s="63" t="s">
        <v>596</v>
      </c>
      <c r="B261" s="63" t="s">
        <v>96</v>
      </c>
      <c r="C261" s="63" t="s">
        <v>597</v>
      </c>
      <c r="D261" s="61"/>
      <c r="E261" s="45">
        <v>0.379</v>
      </c>
      <c r="F261" s="45">
        <v>0.379</v>
      </c>
      <c r="G261" s="66">
        <v>46143</v>
      </c>
      <c r="H261" s="45" t="str">
        <f>IF(ISNUMBER(E261),F261-E261,"N/A")</f>
        <v>N/A</v>
      </c>
      <c r="I261" s="46" t="str">
        <f>IF(E261&lt;&gt;"",IF(F261=E261,"No Change",IF(F261&gt;E261,"Increase","Decrease")),"New")</f>
        <v>Increase</v>
      </c>
      <c r="J261" s="58"/>
      <c r="K261" s="59" t="str">
        <f>IF(LEN(J261)&gt;0,IF(OR(ISLOGICAL(J261),J261="TRUE"),"Yes",""),"")</f>
      </c>
      <c r="L261" s="59"/>
      <c r="M261" s="59"/>
      <c r="N261" s="62" t="str">
        <f>IF(LEN(M261)&gt;0,IF(OR(ISLOGICAL(M261),M261="TRUE"),"Yes",""),"")</f>
      </c>
      <c r="O261" s="59"/>
      <c r="P261" s="62" t="str">
        <f>IF(LEN(O261)&gt;0,IF(OR(ISLOGICAL(O261),O261="TRUE"),"Yes",""),"")</f>
      </c>
      <c r="Q261" s="62" t="s">
        <v>109</v>
      </c>
      <c r="R261" s="63"/>
    </row>
    <row r="262" spans="1:18" s="47" customFormat="1" ht="51">
      <c r="A262" s="63" t="s">
        <v>598</v>
      </c>
      <c r="B262" s="63" t="s">
        <v>96</v>
      </c>
      <c r="C262" s="63" t="s">
        <v>599</v>
      </c>
      <c r="D262" s="61"/>
      <c r="E262" s="45">
        <v>0.45</v>
      </c>
      <c r="F262" s="45">
        <v>0.45</v>
      </c>
      <c r="G262" s="66">
        <v>46085</v>
      </c>
      <c r="H262" s="45" t="str">
        <f>IF(ISNUMBER(E262),F262-E262,"N/A")</f>
        <v>N/A</v>
      </c>
      <c r="I262" s="46" t="str">
        <f>IF(E262&lt;&gt;"",IF(F262=E262,"No Change",IF(F262&gt;E262,"Increase","Decrease")),"New")</f>
        <v>Increase</v>
      </c>
      <c r="J262" s="58"/>
      <c r="K262" s="59" t="str">
        <f>IF(LEN(J262)&gt;0,IF(OR(ISLOGICAL(J262),J262="TRUE"),"Yes",""),"")</f>
      </c>
      <c r="L262" s="59"/>
      <c r="M262" s="59"/>
      <c r="N262" s="62" t="str">
        <f>IF(LEN(M262)&gt;0,IF(OR(ISLOGICAL(M262),M262="TRUE"),"Yes",""),"")</f>
      </c>
      <c r="O262" s="59"/>
      <c r="P262" s="62" t="str">
        <f>IF(LEN(O262)&gt;0,IF(OR(ISLOGICAL(O262),O262="TRUE"),"Yes",""),"")</f>
      </c>
      <c r="Q262" s="62" t="s">
        <v>98</v>
      </c>
      <c r="R262" s="63"/>
    </row>
    <row r="263" spans="1:18" s="47" customFormat="1" ht="51">
      <c r="A263" s="63" t="s">
        <v>600</v>
      </c>
      <c r="B263" s="63" t="s">
        <v>96</v>
      </c>
      <c r="C263" s="63" t="s">
        <v>601</v>
      </c>
      <c r="D263" s="61"/>
      <c r="E263" s="45">
        <v>0.89</v>
      </c>
      <c r="F263" s="45">
        <v>0.89</v>
      </c>
      <c r="G263" s="66">
        <v>44986</v>
      </c>
      <c r="H263" s="45" t="str">
        <f>IF(ISNUMBER(E263),F263-E263,"N/A")</f>
        <v>N/A</v>
      </c>
      <c r="I263" s="46" t="str">
        <f>IF(E263&lt;&gt;"",IF(F263=E263,"No Change",IF(F263&gt;E263,"Increase","Decrease")),"New")</f>
        <v>Increase</v>
      </c>
      <c r="J263" s="58"/>
      <c r="K263" s="59" t="str">
        <f>IF(LEN(J263)&gt;0,IF(OR(ISLOGICAL(J263),J263="TRUE"),"Yes",""),"")</f>
      </c>
      <c r="L263" s="59"/>
      <c r="M263" s="59"/>
      <c r="N263" s="62" t="str">
        <f>IF(LEN(M263)&gt;0,IF(OR(ISLOGICAL(M263),M263="TRUE"),"Yes",""),"")</f>
      </c>
      <c r="O263" s="59"/>
      <c r="P263" s="62" t="str">
        <f>IF(LEN(O263)&gt;0,IF(OR(ISLOGICAL(O263),O263="TRUE"),"Yes",""),"")</f>
      </c>
      <c r="Q263" s="62" t="s">
        <v>109</v>
      </c>
      <c r="R263" s="63"/>
    </row>
    <row r="264" spans="1:18" s="47" customFormat="1" ht="51">
      <c r="A264" s="63" t="s">
        <v>602</v>
      </c>
      <c r="B264" s="63" t="s">
        <v>96</v>
      </c>
      <c r="C264" s="63" t="s">
        <v>603</v>
      </c>
      <c r="D264" s="61"/>
      <c r="E264" s="45">
        <v>0.89</v>
      </c>
      <c r="F264" s="45">
        <v>0.89</v>
      </c>
      <c r="G264" s="66">
        <v>44986</v>
      </c>
      <c r="H264" s="45" t="str">
        <f>IF(ISNUMBER(E264),F264-E264,"N/A")</f>
        <v>N/A</v>
      </c>
      <c r="I264" s="46" t="str">
        <f>IF(E264&lt;&gt;"",IF(F264=E264,"No Change",IF(F264&gt;E264,"Increase","Decrease")),"New")</f>
        <v>Increase</v>
      </c>
      <c r="J264" s="58"/>
      <c r="K264" s="59" t="str">
        <f>IF(LEN(J264)&gt;0,IF(OR(ISLOGICAL(J264),J264="TRUE"),"Yes",""),"")</f>
      </c>
      <c r="L264" s="59"/>
      <c r="M264" s="59"/>
      <c r="N264" s="62" t="str">
        <f>IF(LEN(M264)&gt;0,IF(OR(ISLOGICAL(M264),M264="TRUE"),"Yes",""),"")</f>
      </c>
      <c r="O264" s="59"/>
      <c r="P264" s="62" t="str">
        <f>IF(LEN(O264)&gt;0,IF(OR(ISLOGICAL(O264),O264="TRUE"),"Yes",""),"")</f>
      </c>
      <c r="Q264" s="62" t="s">
        <v>109</v>
      </c>
      <c r="R264" s="63"/>
    </row>
    <row r="265" spans="1:18" s="47" customFormat="1" ht="51">
      <c r="A265" s="63" t="s">
        <v>604</v>
      </c>
      <c r="B265" s="63" t="s">
        <v>96</v>
      </c>
      <c r="C265" s="63" t="s">
        <v>605</v>
      </c>
      <c r="D265" s="61"/>
      <c r="E265" s="45">
        <v>0.013</v>
      </c>
      <c r="F265" s="45">
        <v>0.013</v>
      </c>
      <c r="G265" s="66">
        <v>46078</v>
      </c>
      <c r="H265" s="45" t="str">
        <f>IF(ISNUMBER(E265),F265-E265,"N/A")</f>
        <v>N/A</v>
      </c>
      <c r="I265" s="46" t="str">
        <f>IF(E265&lt;&gt;"",IF(F265=E265,"No Change",IF(F265&gt;E265,"Increase","Decrease")),"New")</f>
        <v>Increase</v>
      </c>
      <c r="J265" s="58"/>
      <c r="K265" s="59" t="str">
        <f>IF(LEN(J265)&gt;0,IF(OR(ISLOGICAL(J265),J265="TRUE"),"Yes",""),"")</f>
      </c>
      <c r="L265" s="59"/>
      <c r="M265" s="59"/>
      <c r="N265" s="62" t="str">
        <f>IF(LEN(M265)&gt;0,IF(OR(ISLOGICAL(M265),M265="TRUE"),"Yes",""),"")</f>
      </c>
      <c r="O265" s="59"/>
      <c r="P265" s="62" t="str">
        <f>IF(LEN(O265)&gt;0,IF(OR(ISLOGICAL(O265),O265="TRUE"),"Yes",""),"")</f>
      </c>
      <c r="Q265" s="62" t="s">
        <v>98</v>
      </c>
      <c r="R265" s="63"/>
    </row>
    <row r="266" spans="1:18" s="47" customFormat="1" ht="51">
      <c r="A266" s="63" t="s">
        <v>606</v>
      </c>
      <c r="B266" s="63" t="s">
        <v>96</v>
      </c>
      <c r="C266" s="63" t="s">
        <v>607</v>
      </c>
      <c r="D266" s="61"/>
      <c r="E266" s="45">
        <v>0.0435</v>
      </c>
      <c r="F266" s="45">
        <v>0.0435</v>
      </c>
      <c r="G266" s="66">
        <v>45868</v>
      </c>
      <c r="H266" s="45" t="str">
        <f>IF(ISNUMBER(E266),F266-E266,"N/A")</f>
        <v>N/A</v>
      </c>
      <c r="I266" s="46" t="str">
        <f>IF(E266&lt;&gt;"",IF(F266=E266,"No Change",IF(F266&gt;E266,"Increase","Decrease")),"New")</f>
        <v>Increase</v>
      </c>
      <c r="J266" s="58" t="s">
        <v>122</v>
      </c>
      <c r="K266" s="59" t="str">
        <f>IF(LEN(J266)&gt;0,IF(OR(ISLOGICAL(J266),J266="TRUE"),"Yes",""),"")</f>
      </c>
      <c r="L266" s="59"/>
      <c r="M266" s="59"/>
      <c r="N266" s="62" t="str">
        <f>IF(LEN(M266)&gt;0,IF(OR(ISLOGICAL(M266),M266="TRUE"),"Yes",""),"")</f>
      </c>
      <c r="O266" s="59"/>
      <c r="P266" s="62" t="str">
        <f>IF(LEN(O266)&gt;0,IF(OR(ISLOGICAL(O266),O266="TRUE"),"Yes",""),"")</f>
      </c>
      <c r="Q266" s="62" t="s">
        <v>98</v>
      </c>
      <c r="R266" s="63"/>
    </row>
    <row r="267" spans="1:18" s="47" customFormat="1" ht="51">
      <c r="A267" s="63" t="s">
        <v>608</v>
      </c>
      <c r="B267" s="63" t="s">
        <v>96</v>
      </c>
      <c r="C267" s="63" t="s">
        <v>609</v>
      </c>
      <c r="D267" s="61"/>
      <c r="E267" s="45">
        <v>0.0385</v>
      </c>
      <c r="F267" s="45">
        <v>0.0385</v>
      </c>
      <c r="G267" s="66">
        <v>45448</v>
      </c>
      <c r="H267" s="45" t="str">
        <f>IF(ISNUMBER(E267),F267-E267,"N/A")</f>
        <v>N/A</v>
      </c>
      <c r="I267" s="46" t="str">
        <f>IF(E267&lt;&gt;"",IF(F267=E267,"No Change",IF(F267&gt;E267,"Increase","Decrease")),"New")</f>
        <v>Increase</v>
      </c>
      <c r="J267" s="58" t="s">
        <v>122</v>
      </c>
      <c r="K267" s="59" t="str">
        <f>IF(LEN(J267)&gt;0,IF(OR(ISLOGICAL(J267),J267="TRUE"),"Yes",""),"")</f>
      </c>
      <c r="L267" s="59"/>
      <c r="M267" s="59"/>
      <c r="N267" s="62" t="str">
        <f>IF(LEN(M267)&gt;0,IF(OR(ISLOGICAL(M267),M267="TRUE"),"Yes",""),"")</f>
      </c>
      <c r="O267" s="59"/>
      <c r="P267" s="62" t="str">
        <f>IF(LEN(O267)&gt;0,IF(OR(ISLOGICAL(O267),O267="TRUE"),"Yes",""),"")</f>
      </c>
      <c r="Q267" s="62" t="s">
        <v>98</v>
      </c>
      <c r="R267" s="63"/>
    </row>
    <row r="268" spans="1:18" s="47" customFormat="1" ht="51">
      <c r="A268" s="63" t="s">
        <v>610</v>
      </c>
      <c r="B268" s="63" t="s">
        <v>96</v>
      </c>
      <c r="C268" s="63" t="s">
        <v>611</v>
      </c>
      <c r="D268" s="61"/>
      <c r="E268" s="45">
        <v>0.0585</v>
      </c>
      <c r="F268" s="45">
        <v>0.0585</v>
      </c>
      <c r="G268" s="66">
        <v>46050</v>
      </c>
      <c r="H268" s="45" t="str">
        <f>IF(ISNUMBER(E268),F268-E268,"N/A")</f>
        <v>N/A</v>
      </c>
      <c r="I268" s="46" t="str">
        <f>IF(E268&lt;&gt;"",IF(F268=E268,"No Change",IF(F268&gt;E268,"Increase","Decrease")),"New")</f>
        <v>Increase</v>
      </c>
      <c r="J268" s="58" t="s">
        <v>122</v>
      </c>
      <c r="K268" s="59" t="str">
        <f>IF(LEN(J268)&gt;0,IF(OR(ISLOGICAL(J268),J268="TRUE"),"Yes",""),"")</f>
      </c>
      <c r="L268" s="59"/>
      <c r="M268" s="59"/>
      <c r="N268" s="62" t="str">
        <f>IF(LEN(M268)&gt;0,IF(OR(ISLOGICAL(M268),M268="TRUE"),"Yes",""),"")</f>
      </c>
      <c r="O268" s="59"/>
      <c r="P268" s="62" t="str">
        <f>IF(LEN(O268)&gt;0,IF(OR(ISLOGICAL(O268),O268="TRUE"),"Yes",""),"")</f>
      </c>
      <c r="Q268" s="62" t="s">
        <v>98</v>
      </c>
      <c r="R268" s="63"/>
    </row>
    <row r="269" spans="1:18" s="47" customFormat="1" ht="51">
      <c r="A269" s="63" t="s">
        <v>612</v>
      </c>
      <c r="B269" s="63" t="s">
        <v>96</v>
      </c>
      <c r="C269" s="63" t="s">
        <v>613</v>
      </c>
      <c r="D269" s="61"/>
      <c r="E269" s="45">
        <v>0.04</v>
      </c>
      <c r="F269" s="45">
        <v>0.04</v>
      </c>
      <c r="G269" s="66">
        <v>42825</v>
      </c>
      <c r="H269" s="45" t="str">
        <f>IF(ISNUMBER(E269),F269-E269,"N/A")</f>
        <v>N/A</v>
      </c>
      <c r="I269" s="46" t="str">
        <f>IF(E269&lt;&gt;"",IF(F269=E269,"No Change",IF(F269&gt;E269,"Increase","Decrease")),"New")</f>
        <v>Increase</v>
      </c>
      <c r="J269" s="58" t="s">
        <v>122</v>
      </c>
      <c r="K269" s="59" t="str">
        <f>IF(LEN(J269)&gt;0,IF(OR(ISLOGICAL(J269),J269="TRUE"),"Yes",""),"")</f>
      </c>
      <c r="L269" s="59"/>
      <c r="M269" s="59"/>
      <c r="N269" s="62" t="str">
        <f>IF(LEN(M269)&gt;0,IF(OR(ISLOGICAL(M269),M269="TRUE"),"Yes",""),"")</f>
      </c>
      <c r="O269" s="59"/>
      <c r="P269" s="62" t="str">
        <f>IF(LEN(O269)&gt;0,IF(OR(ISLOGICAL(O269),O269="TRUE"),"Yes",""),"")</f>
      </c>
      <c r="Q269" s="62" t="s">
        <v>98</v>
      </c>
      <c r="R269" s="63"/>
    </row>
    <row r="270" spans="1:18" s="47" customFormat="1" ht="51">
      <c r="A270" s="63" t="s">
        <v>614</v>
      </c>
      <c r="B270" s="63" t="s">
        <v>96</v>
      </c>
      <c r="C270" s="63" t="s">
        <v>615</v>
      </c>
      <c r="D270" s="61"/>
      <c r="E270" s="45">
        <v>0.013</v>
      </c>
      <c r="F270" s="45">
        <v>0.013</v>
      </c>
      <c r="G270" s="66">
        <v>46078</v>
      </c>
      <c r="H270" s="45" t="str">
        <f>IF(ISNUMBER(E270),F270-E270,"N/A")</f>
        <v>N/A</v>
      </c>
      <c r="I270" s="46" t="str">
        <f>IF(E270&lt;&gt;"",IF(F270=E270,"No Change",IF(F270&gt;E270,"Increase","Decrease")),"New")</f>
        <v>Increase</v>
      </c>
      <c r="J270" s="58"/>
      <c r="K270" s="59" t="str">
        <f>IF(LEN(J270)&gt;0,IF(OR(ISLOGICAL(J270),J270="TRUE"),"Yes",""),"")</f>
      </c>
      <c r="L270" s="59"/>
      <c r="M270" s="59"/>
      <c r="N270" s="62" t="str">
        <f>IF(LEN(M270)&gt;0,IF(OR(ISLOGICAL(M270),M270="TRUE"),"Yes",""),"")</f>
      </c>
      <c r="O270" s="59"/>
      <c r="P270" s="62" t="str">
        <f>IF(LEN(O270)&gt;0,IF(OR(ISLOGICAL(O270),O270="TRUE"),"Yes",""),"")</f>
      </c>
      <c r="Q270" s="62" t="s">
        <v>98</v>
      </c>
      <c r="R270" s="63"/>
    </row>
    <row r="271" spans="1:18" s="47" customFormat="1" ht="51">
      <c r="A271" s="63" t="s">
        <v>616</v>
      </c>
      <c r="B271" s="63" t="s">
        <v>96</v>
      </c>
      <c r="C271" s="63" t="s">
        <v>617</v>
      </c>
      <c r="D271" s="61"/>
      <c r="E271" s="45">
        <v>0.005</v>
      </c>
      <c r="F271" s="45">
        <v>0.005</v>
      </c>
      <c r="G271" s="66">
        <v>46074</v>
      </c>
      <c r="H271" s="45" t="str">
        <f>IF(ISNUMBER(E271),F271-E271,"N/A")</f>
        <v>N/A</v>
      </c>
      <c r="I271" s="46" t="str">
        <f>IF(E271&lt;&gt;"",IF(F271=E271,"No Change",IF(F271&gt;E271,"Increase","Decrease")),"New")</f>
        <v>Increase</v>
      </c>
      <c r="J271" s="58"/>
      <c r="K271" s="59" t="str">
        <f>IF(LEN(J271)&gt;0,IF(OR(ISLOGICAL(J271),J271="TRUE"),"Yes",""),"")</f>
      </c>
      <c r="L271" s="59"/>
      <c r="M271" s="59"/>
      <c r="N271" s="62" t="str">
        <f>IF(LEN(M271)&gt;0,IF(OR(ISLOGICAL(M271),M271="TRUE"),"Yes",""),"")</f>
      </c>
      <c r="O271" s="59"/>
      <c r="P271" s="62" t="str">
        <f>IF(LEN(O271)&gt;0,IF(OR(ISLOGICAL(O271),O271="TRUE"),"Yes",""),"")</f>
      </c>
      <c r="Q271" s="62" t="s">
        <v>98</v>
      </c>
      <c r="R271" s="63"/>
    </row>
    <row r="272" spans="1:18" s="47" customFormat="1" ht="51">
      <c r="A272" s="63" t="s">
        <v>618</v>
      </c>
      <c r="B272" s="63" t="s">
        <v>96</v>
      </c>
      <c r="C272" s="63" t="s">
        <v>619</v>
      </c>
      <c r="D272" s="61"/>
      <c r="E272" s="45">
        <v>0.168</v>
      </c>
      <c r="F272" s="45">
        <v>0.178</v>
      </c>
      <c r="G272" s="66">
        <v>46148</v>
      </c>
      <c r="H272" s="45" t="str">
        <f>IF(ISNUMBER(E272),F272-E272,"N/A")</f>
        <v>N/A</v>
      </c>
      <c r="I272" s="46" t="str">
        <f>IF(E272&lt;&gt;"",IF(F272=E272,"No Change",IF(F272&gt;E272,"Increase","Decrease")),"New")</f>
        <v>Increase</v>
      </c>
      <c r="J272" s="58" t="s">
        <v>122</v>
      </c>
      <c r="K272" s="59" t="str">
        <f>IF(LEN(J272)&gt;0,IF(OR(ISLOGICAL(J272),J272="TRUE"),"Yes",""),"")</f>
      </c>
      <c r="L272" s="59"/>
      <c r="M272" s="59"/>
      <c r="N272" s="62" t="str">
        <f>IF(LEN(M272)&gt;0,IF(OR(ISLOGICAL(M272),M272="TRUE"),"Yes",""),"")</f>
      </c>
      <c r="O272" s="59"/>
      <c r="P272" s="62" t="str">
        <f>IF(LEN(O272)&gt;0,IF(OR(ISLOGICAL(O272),O272="TRUE"),"Yes",""),"")</f>
      </c>
      <c r="Q272" s="62" t="s">
        <v>98</v>
      </c>
      <c r="R272" s="63"/>
    </row>
    <row r="273" spans="1:18" s="47" customFormat="1" ht="51">
      <c r="A273" s="63" t="s">
        <v>620</v>
      </c>
      <c r="B273" s="63" t="s">
        <v>96</v>
      </c>
      <c r="C273" s="63" t="s">
        <v>621</v>
      </c>
      <c r="D273" s="61"/>
      <c r="E273" s="45">
        <v>0.168</v>
      </c>
      <c r="F273" s="45">
        <v>0.178</v>
      </c>
      <c r="G273" s="66">
        <v>46148</v>
      </c>
      <c r="H273" s="45" t="str">
        <f>IF(ISNUMBER(E273),F273-E273,"N/A")</f>
        <v>N/A</v>
      </c>
      <c r="I273" s="46" t="str">
        <f>IF(E273&lt;&gt;"",IF(F273=E273,"No Change",IF(F273&gt;E273,"Increase","Decrease")),"New")</f>
        <v>Increase</v>
      </c>
      <c r="J273" s="58" t="s">
        <v>122</v>
      </c>
      <c r="K273" s="59" t="str">
        <f>IF(LEN(J273)&gt;0,IF(OR(ISLOGICAL(J273),J273="TRUE"),"Yes",""),"")</f>
      </c>
      <c r="L273" s="59"/>
      <c r="M273" s="59"/>
      <c r="N273" s="62" t="str">
        <f>IF(LEN(M273)&gt;0,IF(OR(ISLOGICAL(M273),M273="TRUE"),"Yes",""),"")</f>
      </c>
      <c r="O273" s="59"/>
      <c r="P273" s="62" t="str">
        <f>IF(LEN(O273)&gt;0,IF(OR(ISLOGICAL(O273),O273="TRUE"),"Yes",""),"")</f>
      </c>
      <c r="Q273" s="62" t="s">
        <v>98</v>
      </c>
      <c r="R273" s="63"/>
    </row>
    <row r="274" spans="1:18" s="47" customFormat="1" ht="51">
      <c r="A274" s="63" t="s">
        <v>622</v>
      </c>
      <c r="B274" s="63" t="s">
        <v>96</v>
      </c>
      <c r="C274" s="63" t="s">
        <v>623</v>
      </c>
      <c r="D274" s="61"/>
      <c r="E274" s="45">
        <v>0.168</v>
      </c>
      <c r="F274" s="45">
        <v>0.178</v>
      </c>
      <c r="G274" s="66">
        <v>46148</v>
      </c>
      <c r="H274" s="45" t="str">
        <f>IF(ISNUMBER(E274),F274-E274,"N/A")</f>
        <v>N/A</v>
      </c>
      <c r="I274" s="46" t="str">
        <f>IF(E274&lt;&gt;"",IF(F274=E274,"No Change",IF(F274&gt;E274,"Increase","Decrease")),"New")</f>
        <v>Increase</v>
      </c>
      <c r="J274" s="58" t="s">
        <v>122</v>
      </c>
      <c r="K274" s="59" t="str">
        <f>IF(LEN(J274)&gt;0,IF(OR(ISLOGICAL(J274),J274="TRUE"),"Yes",""),"")</f>
      </c>
      <c r="L274" s="59"/>
      <c r="M274" s="59"/>
      <c r="N274" s="62" t="str">
        <f>IF(LEN(M274)&gt;0,IF(OR(ISLOGICAL(M274),M274="TRUE"),"Yes",""),"")</f>
      </c>
      <c r="O274" s="59"/>
      <c r="P274" s="62" t="str">
        <f>IF(LEN(O274)&gt;0,IF(OR(ISLOGICAL(O274),O274="TRUE"),"Yes",""),"")</f>
      </c>
      <c r="Q274" s="62" t="s">
        <v>98</v>
      </c>
      <c r="R274" s="63"/>
    </row>
    <row r="275" spans="1:18" s="47" customFormat="1" ht="51">
      <c r="A275" s="63" t="s">
        <v>624</v>
      </c>
      <c r="B275" s="63" t="s">
        <v>96</v>
      </c>
      <c r="C275" s="63" t="s">
        <v>625</v>
      </c>
      <c r="D275" s="61"/>
      <c r="E275" s="45">
        <v>0.565</v>
      </c>
      <c r="F275" s="45">
        <v>0.565</v>
      </c>
      <c r="G275" s="66">
        <v>46092</v>
      </c>
      <c r="H275" s="45" t="str">
        <f>IF(ISNUMBER(E275),F275-E275,"N/A")</f>
        <v>N/A</v>
      </c>
      <c r="I275" s="46" t="str">
        <f>IF(E275&lt;&gt;"",IF(F275=E275,"No Change",IF(F275&gt;E275,"Increase","Decrease")),"New")</f>
        <v>Increase</v>
      </c>
      <c r="J275" s="58"/>
      <c r="K275" s="59" t="str">
        <f>IF(LEN(J275)&gt;0,IF(OR(ISLOGICAL(J275),J275="TRUE"),"Yes",""),"")</f>
      </c>
      <c r="L275" s="59"/>
      <c r="M275" s="59"/>
      <c r="N275" s="62" t="str">
        <f>IF(LEN(M275)&gt;0,IF(OR(ISLOGICAL(M275),M275="TRUE"),"Yes",""),"")</f>
      </c>
      <c r="O275" s="59"/>
      <c r="P275" s="62" t="str">
        <f>IF(LEN(O275)&gt;0,IF(OR(ISLOGICAL(O275),O275="TRUE"),"Yes",""),"")</f>
      </c>
      <c r="Q275" s="62" t="s">
        <v>98</v>
      </c>
      <c r="R275" s="63"/>
    </row>
    <row r="276" spans="1:18" s="47" customFormat="1" ht="51">
      <c r="A276" s="63" t="s">
        <v>626</v>
      </c>
      <c r="B276" s="63" t="s">
        <v>96</v>
      </c>
      <c r="C276" s="63" t="s">
        <v>627</v>
      </c>
      <c r="D276" s="61"/>
      <c r="E276" s="45">
        <v>0.1035</v>
      </c>
      <c r="F276" s="45">
        <v>0.1035</v>
      </c>
      <c r="G276" s="66">
        <v>46092</v>
      </c>
      <c r="H276" s="45" t="str">
        <f>IF(ISNUMBER(E276),F276-E276,"N/A")</f>
        <v>N/A</v>
      </c>
      <c r="I276" s="46" t="str">
        <f>IF(E276&lt;&gt;"",IF(F276=E276,"No Change",IF(F276&gt;E276,"Increase","Decrease")),"New")</f>
        <v>Increase</v>
      </c>
      <c r="J276" s="58"/>
      <c r="K276" s="59" t="str">
        <f>IF(LEN(J276)&gt;0,IF(OR(ISLOGICAL(J276),J276="TRUE"),"Yes",""),"")</f>
      </c>
      <c r="L276" s="59"/>
      <c r="M276" s="59"/>
      <c r="N276" s="62" t="str">
        <f>IF(LEN(M276)&gt;0,IF(OR(ISLOGICAL(M276),M276="TRUE"),"Yes",""),"")</f>
      </c>
      <c r="O276" s="59"/>
      <c r="P276" s="62" t="str">
        <f>IF(LEN(O276)&gt;0,IF(OR(ISLOGICAL(O276),O276="TRUE"),"Yes",""),"")</f>
      </c>
      <c r="Q276" s="62" t="s">
        <v>98</v>
      </c>
      <c r="R276" s="63"/>
    </row>
    <row r="277" spans="1:18" s="47" customFormat="1" ht="51">
      <c r="A277" s="63" t="s">
        <v>628</v>
      </c>
      <c r="B277" s="63" t="s">
        <v>96</v>
      </c>
      <c r="C277" s="63" t="s">
        <v>629</v>
      </c>
      <c r="D277" s="61"/>
      <c r="E277" s="45">
        <v>0.1803</v>
      </c>
      <c r="F277" s="45">
        <v>0.1803</v>
      </c>
      <c r="G277" s="66">
        <v>46113</v>
      </c>
      <c r="H277" s="45" t="str">
        <f>IF(ISNUMBER(E277),F277-E277,"N/A")</f>
        <v>N/A</v>
      </c>
      <c r="I277" s="46" t="str">
        <f>IF(E277&lt;&gt;"",IF(F277=E277,"No Change",IF(F277&gt;E277,"Increase","Decrease")),"New")</f>
        <v>Increase</v>
      </c>
      <c r="J277" s="58"/>
      <c r="K277" s="59" t="str">
        <f>IF(LEN(J277)&gt;0,IF(OR(ISLOGICAL(J277),J277="TRUE"),"Yes",""),"")</f>
      </c>
      <c r="L277" s="59"/>
      <c r="M277" s="59"/>
      <c r="N277" s="62" t="str">
        <f>IF(LEN(M277)&gt;0,IF(OR(ISLOGICAL(M277),M277="TRUE"),"Yes",""),"")</f>
      </c>
      <c r="O277" s="59"/>
      <c r="P277" s="62" t="str">
        <f>IF(LEN(O277)&gt;0,IF(OR(ISLOGICAL(O277),O277="TRUE"),"Yes",""),"")</f>
      </c>
      <c r="Q277" s="62" t="s">
        <v>98</v>
      </c>
      <c r="R277" s="63"/>
    </row>
    <row r="278" spans="1:18" s="47" customFormat="1" ht="51">
      <c r="A278" s="63" t="s">
        <v>630</v>
      </c>
      <c r="B278" s="63" t="s">
        <v>96</v>
      </c>
      <c r="C278" s="63" t="s">
        <v>631</v>
      </c>
      <c r="D278" s="61"/>
      <c r="E278" s="45">
        <v>0.1803</v>
      </c>
      <c r="F278" s="45">
        <v>0.1803</v>
      </c>
      <c r="G278" s="66">
        <v>46085</v>
      </c>
      <c r="H278" s="45" t="str">
        <f>IF(ISNUMBER(E278),F278-E278,"N/A")</f>
        <v>N/A</v>
      </c>
      <c r="I278" s="46" t="str">
        <f>IF(E278&lt;&gt;"",IF(F278=E278,"No Change",IF(F278&gt;E278,"Increase","Decrease")),"New")</f>
        <v>Increase</v>
      </c>
      <c r="J278" s="58" t="s">
        <v>122</v>
      </c>
      <c r="K278" s="59" t="str">
        <f>IF(LEN(J278)&gt;0,IF(OR(ISLOGICAL(J278),J278="TRUE"),"Yes",""),"")</f>
      </c>
      <c r="L278" s="59"/>
      <c r="M278" s="59"/>
      <c r="N278" s="62" t="str">
        <f>IF(LEN(M278)&gt;0,IF(OR(ISLOGICAL(M278),M278="TRUE"),"Yes",""),"")</f>
      </c>
      <c r="O278" s="59"/>
      <c r="P278" s="62" t="str">
        <f>IF(LEN(O278)&gt;0,IF(OR(ISLOGICAL(O278),O278="TRUE"),"Yes",""),"")</f>
      </c>
      <c r="Q278" s="62" t="s">
        <v>98</v>
      </c>
      <c r="R278" s="63"/>
    </row>
    <row r="279" spans="1:18" s="47" customFormat="1" ht="51">
      <c r="A279" s="63" t="s">
        <v>632</v>
      </c>
      <c r="B279" s="63" t="s">
        <v>96</v>
      </c>
      <c r="C279" s="63" t="s">
        <v>633</v>
      </c>
      <c r="D279" s="61"/>
      <c r="E279" s="45">
        <v>0.1803</v>
      </c>
      <c r="F279" s="45">
        <v>0.1803</v>
      </c>
      <c r="G279" s="66">
        <v>45994</v>
      </c>
      <c r="H279" s="45" t="str">
        <f>IF(ISNUMBER(E279),F279-E279,"N/A")</f>
        <v>N/A</v>
      </c>
      <c r="I279" s="46" t="str">
        <f>IF(E279&lt;&gt;"",IF(F279=E279,"No Change",IF(F279&gt;E279,"Increase","Decrease")),"New")</f>
        <v>Increase</v>
      </c>
      <c r="J279" s="58" t="s">
        <v>122</v>
      </c>
      <c r="K279" s="59" t="str">
        <f>IF(LEN(J279)&gt;0,IF(OR(ISLOGICAL(J279),J279="TRUE"),"Yes",""),"")</f>
      </c>
      <c r="L279" s="59"/>
      <c r="M279" s="59"/>
      <c r="N279" s="62" t="str">
        <f>IF(LEN(M279)&gt;0,IF(OR(ISLOGICAL(M279),M279="TRUE"),"Yes",""),"")</f>
      </c>
      <c r="O279" s="59"/>
      <c r="P279" s="62" t="str">
        <f>IF(LEN(O279)&gt;0,IF(OR(ISLOGICAL(O279),O279="TRUE"),"Yes",""),"")</f>
      </c>
      <c r="Q279" s="62" t="s">
        <v>98</v>
      </c>
      <c r="R279" s="63"/>
    </row>
    <row r="280" spans="1:18" s="47" customFormat="1" ht="51">
      <c r="A280" s="63" t="s">
        <v>634</v>
      </c>
      <c r="B280" s="63" t="s">
        <v>96</v>
      </c>
      <c r="C280" s="63" t="s">
        <v>635</v>
      </c>
      <c r="D280" s="61"/>
      <c r="E280" s="45">
        <v>0.1803</v>
      </c>
      <c r="F280" s="45">
        <v>0.1803</v>
      </c>
      <c r="G280" s="66">
        <v>46085</v>
      </c>
      <c r="H280" s="45" t="str">
        <f>IF(ISNUMBER(E280),F280-E280,"N/A")</f>
        <v>N/A</v>
      </c>
      <c r="I280" s="46" t="str">
        <f>IF(E280&lt;&gt;"",IF(F280=E280,"No Change",IF(F280&gt;E280,"Increase","Decrease")),"New")</f>
        <v>Increase</v>
      </c>
      <c r="J280" s="58" t="s">
        <v>122</v>
      </c>
      <c r="K280" s="59" t="str">
        <f>IF(LEN(J280)&gt;0,IF(OR(ISLOGICAL(J280),J280="TRUE"),"Yes",""),"")</f>
      </c>
      <c r="L280" s="59"/>
      <c r="M280" s="59"/>
      <c r="N280" s="62" t="str">
        <f>IF(LEN(M280)&gt;0,IF(OR(ISLOGICAL(M280),M280="TRUE"),"Yes",""),"")</f>
      </c>
      <c r="O280" s="59"/>
      <c r="P280" s="62" t="str">
        <f>IF(LEN(O280)&gt;0,IF(OR(ISLOGICAL(O280),O280="TRUE"),"Yes",""),"")</f>
      </c>
      <c r="Q280" s="62" t="s">
        <v>98</v>
      </c>
      <c r="R280" s="63"/>
    </row>
    <row r="281" spans="1:18" s="47" customFormat="1" ht="51">
      <c r="A281" s="63" t="s">
        <v>636</v>
      </c>
      <c r="B281" s="63" t="s">
        <v>96</v>
      </c>
      <c r="C281" s="63" t="s">
        <v>637</v>
      </c>
      <c r="D281" s="61"/>
      <c r="E281" s="45">
        <v>0.1005</v>
      </c>
      <c r="F281" s="45">
        <v>0.1005</v>
      </c>
      <c r="G281" s="66">
        <v>46078</v>
      </c>
      <c r="H281" s="45" t="str">
        <f>IF(ISNUMBER(E281),F281-E281,"N/A")</f>
        <v>N/A</v>
      </c>
      <c r="I281" s="46" t="str">
        <f>IF(E281&lt;&gt;"",IF(F281=E281,"No Change",IF(F281&gt;E281,"Increase","Decrease")),"New")</f>
        <v>Increase</v>
      </c>
      <c r="J281" s="58"/>
      <c r="K281" s="59" t="str">
        <f>IF(LEN(J281)&gt;0,IF(OR(ISLOGICAL(J281),J281="TRUE"),"Yes",""),"")</f>
      </c>
      <c r="L281" s="59"/>
      <c r="M281" s="59"/>
      <c r="N281" s="62" t="str">
        <f>IF(LEN(M281)&gt;0,IF(OR(ISLOGICAL(M281),M281="TRUE"),"Yes",""),"")</f>
      </c>
      <c r="O281" s="59"/>
      <c r="P281" s="62" t="str">
        <f>IF(LEN(O281)&gt;0,IF(OR(ISLOGICAL(O281),O281="TRUE"),"Yes",""),"")</f>
      </c>
      <c r="Q281" s="62" t="s">
        <v>98</v>
      </c>
      <c r="R281" s="63"/>
    </row>
    <row r="282" spans="1:18" s="47" customFormat="1" ht="51">
      <c r="A282" s="63" t="s">
        <v>638</v>
      </c>
      <c r="B282" s="63" t="s">
        <v>96</v>
      </c>
      <c r="C282" s="63" t="s">
        <v>639</v>
      </c>
      <c r="D282" s="61"/>
      <c r="E282" s="45">
        <v>0.02</v>
      </c>
      <c r="F282" s="45">
        <v>0.02</v>
      </c>
      <c r="G282" s="66">
        <v>46092</v>
      </c>
      <c r="H282" s="45" t="str">
        <f>IF(ISNUMBER(E282),F282-E282,"N/A")</f>
        <v>N/A</v>
      </c>
      <c r="I282" s="46" t="str">
        <f>IF(E282&lt;&gt;"",IF(F282=E282,"No Change",IF(F282&gt;E282,"Increase","Decrease")),"New")</f>
        <v>Increase</v>
      </c>
      <c r="J282" s="58"/>
      <c r="K282" s="59" t="str">
        <f>IF(LEN(J282)&gt;0,IF(OR(ISLOGICAL(J282),J282="TRUE"),"Yes",""),"")</f>
      </c>
      <c r="L282" s="59"/>
      <c r="M282" s="59"/>
      <c r="N282" s="62" t="str">
        <f>IF(LEN(M282)&gt;0,IF(OR(ISLOGICAL(M282),M282="TRUE"),"Yes",""),"")</f>
      </c>
      <c r="O282" s="59"/>
      <c r="P282" s="62" t="str">
        <f>IF(LEN(O282)&gt;0,IF(OR(ISLOGICAL(O282),O282="TRUE"),"Yes",""),"")</f>
      </c>
      <c r="Q282" s="62" t="s">
        <v>98</v>
      </c>
      <c r="R282" s="63"/>
    </row>
    <row r="283" spans="1:18" s="47" customFormat="1" ht="51">
      <c r="A283" s="63" t="s">
        <v>640</v>
      </c>
      <c r="B283" s="63" t="s">
        <v>96</v>
      </c>
      <c r="C283" s="63" t="s">
        <v>641</v>
      </c>
      <c r="D283" s="61"/>
      <c r="E283" s="45">
        <v>0.0385</v>
      </c>
      <c r="F283" s="45">
        <v>0.0385</v>
      </c>
      <c r="G283" s="66">
        <v>46082</v>
      </c>
      <c r="H283" s="45" t="str">
        <f>IF(ISNUMBER(E283),F283-E283,"N/A")</f>
        <v>N/A</v>
      </c>
      <c r="I283" s="46" t="str">
        <f>IF(E283&lt;&gt;"",IF(F283=E283,"No Change",IF(F283&gt;E283,"Increase","Decrease")),"New")</f>
        <v>Increase</v>
      </c>
      <c r="J283" s="58"/>
      <c r="K283" s="59" t="str">
        <f>IF(LEN(J283)&gt;0,IF(OR(ISLOGICAL(J283),J283="TRUE"),"Yes",""),"")</f>
      </c>
      <c r="L283" s="59"/>
      <c r="M283" s="59"/>
      <c r="N283" s="62" t="str">
        <f>IF(LEN(M283)&gt;0,IF(OR(ISLOGICAL(M283),M283="TRUE"),"Yes",""),"")</f>
      </c>
      <c r="O283" s="59"/>
      <c r="P283" s="62" t="str">
        <f>IF(LEN(O283)&gt;0,IF(OR(ISLOGICAL(O283),O283="TRUE"),"Yes",""),"")</f>
      </c>
      <c r="Q283" s="62" t="s">
        <v>98</v>
      </c>
      <c r="R283" s="63"/>
    </row>
    <row r="284" spans="1:18" s="47" customFormat="1" ht="51">
      <c r="A284" s="63" t="s">
        <v>642</v>
      </c>
      <c r="B284" s="63" t="s">
        <v>96</v>
      </c>
      <c r="C284" s="63" t="s">
        <v>643</v>
      </c>
      <c r="D284" s="61"/>
      <c r="E284" s="45">
        <v>0.0385</v>
      </c>
      <c r="F284" s="45">
        <v>0.0385</v>
      </c>
      <c r="G284" s="66">
        <v>46085</v>
      </c>
      <c r="H284" s="45" t="str">
        <f>IF(ISNUMBER(E284),F284-E284,"N/A")</f>
        <v>N/A</v>
      </c>
      <c r="I284" s="46" t="str">
        <f>IF(E284&lt;&gt;"",IF(F284=E284,"No Change",IF(F284&gt;E284,"Increase","Decrease")),"New")</f>
        <v>Increase</v>
      </c>
      <c r="J284" s="58" t="s">
        <v>122</v>
      </c>
      <c r="K284" s="59" t="str">
        <f>IF(LEN(J284)&gt;0,IF(OR(ISLOGICAL(J284),J284="TRUE"),"Yes",""),"")</f>
      </c>
      <c r="L284" s="59"/>
      <c r="M284" s="59"/>
      <c r="N284" s="62" t="str">
        <f>IF(LEN(M284)&gt;0,IF(OR(ISLOGICAL(M284),M284="TRUE"),"Yes",""),"")</f>
      </c>
      <c r="O284" s="59"/>
      <c r="P284" s="62" t="str">
        <f>IF(LEN(O284)&gt;0,IF(OR(ISLOGICAL(O284),O284="TRUE"),"Yes",""),"")</f>
      </c>
      <c r="Q284" s="62" t="s">
        <v>98</v>
      </c>
      <c r="R284" s="63"/>
    </row>
    <row r="285" spans="1:18" s="47" customFormat="1" ht="51">
      <c r="A285" s="63" t="s">
        <v>644</v>
      </c>
      <c r="B285" s="63" t="s">
        <v>96</v>
      </c>
      <c r="C285" s="63" t="s">
        <v>645</v>
      </c>
      <c r="D285" s="61"/>
      <c r="E285" s="45">
        <v>0.0385</v>
      </c>
      <c r="F285" s="45">
        <v>0.0385</v>
      </c>
      <c r="G285" s="66">
        <v>46082</v>
      </c>
      <c r="H285" s="45" t="str">
        <f>IF(ISNUMBER(E285),F285-E285,"N/A")</f>
        <v>N/A</v>
      </c>
      <c r="I285" s="46" t="str">
        <f>IF(E285&lt;&gt;"",IF(F285=E285,"No Change",IF(F285&gt;E285,"Increase","Decrease")),"New")</f>
        <v>Increase</v>
      </c>
      <c r="J285" s="58"/>
      <c r="K285" s="59" t="str">
        <f>IF(LEN(J285)&gt;0,IF(OR(ISLOGICAL(J285),J285="TRUE"),"Yes",""),"")</f>
      </c>
      <c r="L285" s="59"/>
      <c r="M285" s="59"/>
      <c r="N285" s="62" t="str">
        <f>IF(LEN(M285)&gt;0,IF(OR(ISLOGICAL(M285),M285="TRUE"),"Yes",""),"")</f>
      </c>
      <c r="O285" s="59"/>
      <c r="P285" s="62" t="str">
        <f>IF(LEN(O285)&gt;0,IF(OR(ISLOGICAL(O285),O285="TRUE"),"Yes",""),"")</f>
      </c>
      <c r="Q285" s="62" t="s">
        <v>98</v>
      </c>
      <c r="R285" s="63"/>
    </row>
    <row r="286" spans="1:18" s="47" customFormat="1" ht="51">
      <c r="A286" s="63" t="s">
        <v>646</v>
      </c>
      <c r="B286" s="63" t="s">
        <v>96</v>
      </c>
      <c r="C286" s="63" t="s">
        <v>647</v>
      </c>
      <c r="D286" s="61"/>
      <c r="E286" s="45">
        <v>0.0385</v>
      </c>
      <c r="F286" s="45">
        <v>0.0385</v>
      </c>
      <c r="G286" s="66">
        <v>46082</v>
      </c>
      <c r="H286" s="45" t="str">
        <f>IF(ISNUMBER(E286),F286-E286,"N/A")</f>
        <v>N/A</v>
      </c>
      <c r="I286" s="46" t="str">
        <f>IF(E286&lt;&gt;"",IF(F286=E286,"No Change",IF(F286&gt;E286,"Increase","Decrease")),"New")</f>
        <v>Increase</v>
      </c>
      <c r="J286" s="58"/>
      <c r="K286" s="59" t="str">
        <f>IF(LEN(J286)&gt;0,IF(OR(ISLOGICAL(J286),J286="TRUE"),"Yes",""),"")</f>
      </c>
      <c r="L286" s="59"/>
      <c r="M286" s="59"/>
      <c r="N286" s="62" t="str">
        <f>IF(LEN(M286)&gt;0,IF(OR(ISLOGICAL(M286),M286="TRUE"),"Yes",""),"")</f>
      </c>
      <c r="O286" s="59"/>
      <c r="P286" s="62" t="str">
        <f>IF(LEN(O286)&gt;0,IF(OR(ISLOGICAL(O286),O286="TRUE"),"Yes",""),"")</f>
      </c>
      <c r="Q286" s="62" t="s">
        <v>98</v>
      </c>
      <c r="R286" s="63"/>
    </row>
    <row r="287" spans="1:18" s="47" customFormat="1" ht="51">
      <c r="A287" s="63" t="s">
        <v>648</v>
      </c>
      <c r="B287" s="63" t="s">
        <v>96</v>
      </c>
      <c r="C287" s="63" t="s">
        <v>649</v>
      </c>
      <c r="D287" s="61"/>
      <c r="E287" s="45">
        <v>0.26</v>
      </c>
      <c r="F287" s="45">
        <v>0.26</v>
      </c>
      <c r="G287" s="66">
        <v>46127</v>
      </c>
      <c r="H287" s="45" t="str">
        <f>IF(ISNUMBER(E287),F287-E287,"N/A")</f>
        <v>N/A</v>
      </c>
      <c r="I287" s="46" t="str">
        <f>IF(E287&lt;&gt;"",IF(F287=E287,"No Change",IF(F287&gt;E287,"Increase","Decrease")),"New")</f>
        <v>Increase</v>
      </c>
      <c r="J287" s="58"/>
      <c r="K287" s="59" t="str">
        <f>IF(LEN(J287)&gt;0,IF(OR(ISLOGICAL(J287),J287="TRUE"),"Yes",""),"")</f>
      </c>
      <c r="L287" s="59"/>
      <c r="M287" s="59"/>
      <c r="N287" s="62" t="str">
        <f>IF(LEN(M287)&gt;0,IF(OR(ISLOGICAL(M287),M287="TRUE"),"Yes",""),"")</f>
      </c>
      <c r="O287" s="59"/>
      <c r="P287" s="62" t="str">
        <f>IF(LEN(O287)&gt;0,IF(OR(ISLOGICAL(O287),O287="TRUE"),"Yes",""),"")</f>
      </c>
      <c r="Q287" s="62" t="s">
        <v>98</v>
      </c>
      <c r="R287" s="63"/>
    </row>
    <row r="288" spans="1:18" s="47" customFormat="1" ht="51">
      <c r="A288" s="63" t="s">
        <v>650</v>
      </c>
      <c r="B288" s="63" t="s">
        <v>96</v>
      </c>
      <c r="C288" s="63" t="s">
        <v>651</v>
      </c>
      <c r="D288" s="61"/>
      <c r="E288" s="45">
        <v>0.26</v>
      </c>
      <c r="F288" s="45">
        <v>0.26</v>
      </c>
      <c r="G288" s="66">
        <v>46127</v>
      </c>
      <c r="H288" s="45" t="str">
        <f>IF(ISNUMBER(E288),F288-E288,"N/A")</f>
        <v>N/A</v>
      </c>
      <c r="I288" s="46" t="str">
        <f>IF(E288&lt;&gt;"",IF(F288=E288,"No Change",IF(F288&gt;E288,"Increase","Decrease")),"New")</f>
        <v>Increase</v>
      </c>
      <c r="J288" s="58"/>
      <c r="K288" s="59" t="str">
        <f>IF(LEN(J288)&gt;0,IF(OR(ISLOGICAL(J288),J288="TRUE"),"Yes",""),"")</f>
      </c>
      <c r="L288" s="59"/>
      <c r="M288" s="59"/>
      <c r="N288" s="62" t="str">
        <f>IF(LEN(M288)&gt;0,IF(OR(ISLOGICAL(M288),M288="TRUE"),"Yes",""),"")</f>
      </c>
      <c r="O288" s="59"/>
      <c r="P288" s="62" t="str">
        <f>IF(LEN(O288)&gt;0,IF(OR(ISLOGICAL(O288),O288="TRUE"),"Yes",""),"")</f>
      </c>
      <c r="Q288" s="62" t="s">
        <v>98</v>
      </c>
      <c r="R288" s="63"/>
    </row>
    <row r="289" spans="1:18" s="47" customFormat="1" ht="51">
      <c r="A289" s="63" t="s">
        <v>652</v>
      </c>
      <c r="B289" s="63" t="s">
        <v>96</v>
      </c>
      <c r="C289" s="63" t="s">
        <v>653</v>
      </c>
      <c r="D289" s="61"/>
      <c r="E289" s="45">
        <v>0.26</v>
      </c>
      <c r="F289" s="45">
        <v>0.26</v>
      </c>
      <c r="G289" s="66">
        <v>46127</v>
      </c>
      <c r="H289" s="45" t="str">
        <f>IF(ISNUMBER(E289),F289-E289,"N/A")</f>
        <v>N/A</v>
      </c>
      <c r="I289" s="46" t="str">
        <f>IF(E289&lt;&gt;"",IF(F289=E289,"No Change",IF(F289&gt;E289,"Increase","Decrease")),"New")</f>
        <v>Increase</v>
      </c>
      <c r="J289" s="58" t="s">
        <v>122</v>
      </c>
      <c r="K289" s="59" t="str">
        <f>IF(LEN(J289)&gt;0,IF(OR(ISLOGICAL(J289),J289="TRUE"),"Yes",""),"")</f>
      </c>
      <c r="L289" s="59"/>
      <c r="M289" s="59"/>
      <c r="N289" s="62" t="str">
        <f>IF(LEN(M289)&gt;0,IF(OR(ISLOGICAL(M289),M289="TRUE"),"Yes",""),"")</f>
      </c>
      <c r="O289" s="59"/>
      <c r="P289" s="62" t="str">
        <f>IF(LEN(O289)&gt;0,IF(OR(ISLOGICAL(O289),O289="TRUE"),"Yes",""),"")</f>
      </c>
      <c r="Q289" s="62" t="s">
        <v>98</v>
      </c>
      <c r="R289" s="63"/>
    </row>
    <row r="290" spans="1:18" s="47" customFormat="1" ht="51">
      <c r="A290" s="63" t="s">
        <v>654</v>
      </c>
      <c r="B290" s="63" t="s">
        <v>96</v>
      </c>
      <c r="C290" s="63" t="s">
        <v>655</v>
      </c>
      <c r="D290" s="61"/>
      <c r="E290" s="45">
        <v>0.26</v>
      </c>
      <c r="F290" s="45">
        <v>0.26</v>
      </c>
      <c r="G290" s="66">
        <v>46127</v>
      </c>
      <c r="H290" s="45" t="str">
        <f>IF(ISNUMBER(E290),F290-E290,"N/A")</f>
        <v>N/A</v>
      </c>
      <c r="I290" s="46" t="str">
        <f>IF(E290&lt;&gt;"",IF(F290=E290,"No Change",IF(F290&gt;E290,"Increase","Decrease")),"New")</f>
        <v>Increase</v>
      </c>
      <c r="J290" s="58"/>
      <c r="K290" s="59" t="str">
        <f>IF(LEN(J290)&gt;0,IF(OR(ISLOGICAL(J290),J290="TRUE"),"Yes",""),"")</f>
      </c>
      <c r="L290" s="59"/>
      <c r="M290" s="59"/>
      <c r="N290" s="62" t="str">
        <f>IF(LEN(M290)&gt;0,IF(OR(ISLOGICAL(M290),M290="TRUE"),"Yes",""),"")</f>
      </c>
      <c r="O290" s="59"/>
      <c r="P290" s="62" t="str">
        <f>IF(LEN(O290)&gt;0,IF(OR(ISLOGICAL(O290),O290="TRUE"),"Yes",""),"")</f>
      </c>
      <c r="Q290" s="62" t="s">
        <v>98</v>
      </c>
      <c r="R290" s="63"/>
    </row>
    <row r="291" spans="1:18" s="47" customFormat="1" ht="51">
      <c r="A291" s="63" t="s">
        <v>656</v>
      </c>
      <c r="B291" s="63" t="s">
        <v>96</v>
      </c>
      <c r="C291" s="63" t="s">
        <v>657</v>
      </c>
      <c r="D291" s="61"/>
      <c r="E291" s="45">
        <v>0.26</v>
      </c>
      <c r="F291" s="45">
        <v>0.26</v>
      </c>
      <c r="G291" s="66">
        <v>46127</v>
      </c>
      <c r="H291" s="45" t="str">
        <f>IF(ISNUMBER(E291),F291-E291,"N/A")</f>
        <v>N/A</v>
      </c>
      <c r="I291" s="46" t="str">
        <f>IF(E291&lt;&gt;"",IF(F291=E291,"No Change",IF(F291&gt;E291,"Increase","Decrease")),"New")</f>
        <v>Increase</v>
      </c>
      <c r="J291" s="58"/>
      <c r="K291" s="59" t="str">
        <f>IF(LEN(J291)&gt;0,IF(OR(ISLOGICAL(J291),J291="TRUE"),"Yes",""),"")</f>
      </c>
      <c r="L291" s="59"/>
      <c r="M291" s="59"/>
      <c r="N291" s="62" t="str">
        <f>IF(LEN(M291)&gt;0,IF(OR(ISLOGICAL(M291),M291="TRUE"),"Yes",""),"")</f>
      </c>
      <c r="O291" s="59"/>
      <c r="P291" s="62" t="str">
        <f>IF(LEN(O291)&gt;0,IF(OR(ISLOGICAL(O291),O291="TRUE"),"Yes",""),"")</f>
      </c>
      <c r="Q291" s="62" t="s">
        <v>98</v>
      </c>
      <c r="R291" s="63"/>
    </row>
    <row r="292" spans="1:18" s="47" customFormat="1" ht="51">
      <c r="A292" s="63" t="s">
        <v>658</v>
      </c>
      <c r="B292" s="63" t="s">
        <v>96</v>
      </c>
      <c r="C292" s="63" t="s">
        <v>659</v>
      </c>
      <c r="D292" s="61"/>
      <c r="E292" s="45">
        <v>0.26</v>
      </c>
      <c r="F292" s="45">
        <v>0.26</v>
      </c>
      <c r="G292" s="66">
        <v>46127</v>
      </c>
      <c r="H292" s="45" t="str">
        <f>IF(ISNUMBER(E292),F292-E292,"N/A")</f>
        <v>N/A</v>
      </c>
      <c r="I292" s="46" t="str">
        <f>IF(E292&lt;&gt;"",IF(F292=E292,"No Change",IF(F292&gt;E292,"Increase","Decrease")),"New")</f>
        <v>Increase</v>
      </c>
      <c r="J292" s="58" t="s">
        <v>122</v>
      </c>
      <c r="K292" s="59" t="str">
        <f>IF(LEN(J292)&gt;0,IF(OR(ISLOGICAL(J292),J292="TRUE"),"Yes",""),"")</f>
      </c>
      <c r="L292" s="59"/>
      <c r="M292" s="59"/>
      <c r="N292" s="62" t="str">
        <f>IF(LEN(M292)&gt;0,IF(OR(ISLOGICAL(M292),M292="TRUE"),"Yes",""),"")</f>
      </c>
      <c r="O292" s="59"/>
      <c r="P292" s="62" t="str">
        <f>IF(LEN(O292)&gt;0,IF(OR(ISLOGICAL(O292),O292="TRUE"),"Yes",""),"")</f>
      </c>
      <c r="Q292" s="62" t="s">
        <v>98</v>
      </c>
      <c r="R292" s="63"/>
    </row>
    <row r="293" spans="1:18" s="47" customFormat="1" ht="51">
      <c r="A293" s="63" t="s">
        <v>660</v>
      </c>
      <c r="B293" s="63" t="s">
        <v>96</v>
      </c>
      <c r="C293" s="63" t="s">
        <v>661</v>
      </c>
      <c r="D293" s="61"/>
      <c r="E293" s="45">
        <v>0.26</v>
      </c>
      <c r="F293" s="45">
        <v>0.26</v>
      </c>
      <c r="G293" s="66">
        <v>46127</v>
      </c>
      <c r="H293" s="45" t="str">
        <f>IF(ISNUMBER(E293),F293-E293,"N/A")</f>
        <v>N/A</v>
      </c>
      <c r="I293" s="46" t="str">
        <f>IF(E293&lt;&gt;"",IF(F293=E293,"No Change",IF(F293&gt;E293,"Increase","Decrease")),"New")</f>
        <v>Increase</v>
      </c>
      <c r="J293" s="58" t="s">
        <v>122</v>
      </c>
      <c r="K293" s="59" t="str">
        <f>IF(LEN(J293)&gt;0,IF(OR(ISLOGICAL(J293),J293="TRUE"),"Yes",""),"")</f>
      </c>
      <c r="L293" s="59"/>
      <c r="M293" s="59"/>
      <c r="N293" s="62" t="str">
        <f>IF(LEN(M293)&gt;0,IF(OR(ISLOGICAL(M293),M293="TRUE"),"Yes",""),"")</f>
      </c>
      <c r="O293" s="59"/>
      <c r="P293" s="62" t="str">
        <f>IF(LEN(O293)&gt;0,IF(OR(ISLOGICAL(O293),O293="TRUE"),"Yes",""),"")</f>
      </c>
      <c r="Q293" s="62" t="s">
        <v>98</v>
      </c>
      <c r="R293" s="63"/>
    </row>
    <row r="294" spans="1:18" s="47" customFormat="1" ht="51">
      <c r="A294" s="63" t="s">
        <v>662</v>
      </c>
      <c r="B294" s="63" t="s">
        <v>96</v>
      </c>
      <c r="C294" s="63" t="s">
        <v>663</v>
      </c>
      <c r="D294" s="61"/>
      <c r="E294" s="45">
        <v>0.26</v>
      </c>
      <c r="F294" s="45">
        <v>0.26</v>
      </c>
      <c r="G294" s="66">
        <v>46127</v>
      </c>
      <c r="H294" s="45" t="str">
        <f>IF(ISNUMBER(E294),F294-E294,"N/A")</f>
        <v>N/A</v>
      </c>
      <c r="I294" s="46" t="str">
        <f>IF(E294&lt;&gt;"",IF(F294=E294,"No Change",IF(F294&gt;E294,"Increase","Decrease")),"New")</f>
        <v>Increase</v>
      </c>
      <c r="J294" s="58" t="s">
        <v>122</v>
      </c>
      <c r="K294" s="59" t="str">
        <f>IF(LEN(J294)&gt;0,IF(OR(ISLOGICAL(J294),J294="TRUE"),"Yes",""),"")</f>
      </c>
      <c r="L294" s="59"/>
      <c r="M294" s="59"/>
      <c r="N294" s="62" t="str">
        <f>IF(LEN(M294)&gt;0,IF(OR(ISLOGICAL(M294),M294="TRUE"),"Yes",""),"")</f>
      </c>
      <c r="O294" s="59"/>
      <c r="P294" s="62" t="str">
        <f>IF(LEN(O294)&gt;0,IF(OR(ISLOGICAL(O294),O294="TRUE"),"Yes",""),"")</f>
      </c>
      <c r="Q294" s="62" t="s">
        <v>98</v>
      </c>
      <c r="R294" s="63"/>
    </row>
    <row r="295" spans="1:18" s="47" customFormat="1" ht="51">
      <c r="A295" s="63" t="s">
        <v>664</v>
      </c>
      <c r="B295" s="63" t="s">
        <v>96</v>
      </c>
      <c r="C295" s="63" t="s">
        <v>665</v>
      </c>
      <c r="D295" s="61"/>
      <c r="E295" s="45">
        <v>0.96</v>
      </c>
      <c r="F295" s="45">
        <v>0.96</v>
      </c>
      <c r="G295" s="66">
        <v>46092</v>
      </c>
      <c r="H295" s="45" t="str">
        <f>IF(ISNUMBER(E295),F295-E295,"N/A")</f>
        <v>N/A</v>
      </c>
      <c r="I295" s="46" t="str">
        <f>IF(E295&lt;&gt;"",IF(F295=E295,"No Change",IF(F295&gt;E295,"Increase","Decrease")),"New")</f>
        <v>Increase</v>
      </c>
      <c r="J295" s="58"/>
      <c r="K295" s="59" t="str">
        <f>IF(LEN(J295)&gt;0,IF(OR(ISLOGICAL(J295),J295="TRUE"),"Yes",""),"")</f>
      </c>
      <c r="L295" s="59"/>
      <c r="M295" s="59"/>
      <c r="N295" s="62" t="str">
        <f>IF(LEN(M295)&gt;0,IF(OR(ISLOGICAL(M295),M295="TRUE"),"Yes",""),"")</f>
      </c>
      <c r="O295" s="59"/>
      <c r="P295" s="62" t="str">
        <f>IF(LEN(O295)&gt;0,IF(OR(ISLOGICAL(O295),O295="TRUE"),"Yes",""),"")</f>
      </c>
      <c r="Q295" s="62" t="s">
        <v>98</v>
      </c>
      <c r="R295" s="63"/>
    </row>
    <row r="296" spans="1:18" s="47" customFormat="1" ht="51">
      <c r="A296" s="63" t="s">
        <v>666</v>
      </c>
      <c r="B296" s="63" t="s">
        <v>96</v>
      </c>
      <c r="C296" s="63" t="s">
        <v>667</v>
      </c>
      <c r="D296" s="61"/>
      <c r="E296" s="45">
        <v>0.2475</v>
      </c>
      <c r="F296" s="45">
        <v>0.2475</v>
      </c>
      <c r="G296" s="66">
        <v>46143</v>
      </c>
      <c r="H296" s="45" t="str">
        <f>IF(ISNUMBER(E296),F296-E296,"N/A")</f>
        <v>N/A</v>
      </c>
      <c r="I296" s="46" t="str">
        <f>IF(E296&lt;&gt;"",IF(F296=E296,"No Change",IF(F296&gt;E296,"Increase","Decrease")),"New")</f>
        <v>Increase</v>
      </c>
      <c r="J296" s="58"/>
      <c r="K296" s="59" t="str">
        <f>IF(LEN(J296)&gt;0,IF(OR(ISLOGICAL(J296),J296="TRUE"),"Yes",""),"")</f>
      </c>
      <c r="L296" s="59"/>
      <c r="M296" s="59"/>
      <c r="N296" s="62" t="str">
        <f>IF(LEN(M296)&gt;0,IF(OR(ISLOGICAL(M296),M296="TRUE"),"Yes",""),"")</f>
      </c>
      <c r="O296" s="59"/>
      <c r="P296" s="62" t="str">
        <f>IF(LEN(O296)&gt;0,IF(OR(ISLOGICAL(O296),O296="TRUE"),"Yes",""),"")</f>
      </c>
      <c r="Q296" s="62" t="s">
        <v>98</v>
      </c>
      <c r="R296" s="63"/>
    </row>
    <row r="297" spans="1:18" s="47" customFormat="1" ht="51">
      <c r="A297" s="63" t="s">
        <v>668</v>
      </c>
      <c r="B297" s="63" t="s">
        <v>96</v>
      </c>
      <c r="C297" s="63" t="s">
        <v>669</v>
      </c>
      <c r="D297" s="61"/>
      <c r="E297" s="45">
        <v>0.21</v>
      </c>
      <c r="F297" s="45">
        <v>0.21</v>
      </c>
      <c r="G297" s="66">
        <v>46078</v>
      </c>
      <c r="H297" s="45" t="str">
        <f>IF(ISNUMBER(E297),F297-E297,"N/A")</f>
        <v>N/A</v>
      </c>
      <c r="I297" s="46" t="str">
        <f>IF(E297&lt;&gt;"",IF(F297=E297,"No Change",IF(F297&gt;E297,"Increase","Decrease")),"New")</f>
        <v>Increase</v>
      </c>
      <c r="J297" s="58"/>
      <c r="K297" s="59" t="str">
        <f>IF(LEN(J297)&gt;0,IF(OR(ISLOGICAL(J297),J297="TRUE"),"Yes",""),"")</f>
      </c>
      <c r="L297" s="59"/>
      <c r="M297" s="59"/>
      <c r="N297" s="62" t="str">
        <f>IF(LEN(M297)&gt;0,IF(OR(ISLOGICAL(M297),M297="TRUE"),"Yes",""),"")</f>
      </c>
      <c r="O297" s="59"/>
      <c r="P297" s="62" t="str">
        <f>IF(LEN(O297)&gt;0,IF(OR(ISLOGICAL(O297),O297="TRUE"),"Yes",""),"")</f>
      </c>
      <c r="Q297" s="62" t="s">
        <v>98</v>
      </c>
      <c r="R297" s="63"/>
    </row>
    <row r="298" spans="1:18" s="47" customFormat="1" ht="51">
      <c r="A298" s="63" t="s">
        <v>670</v>
      </c>
      <c r="B298" s="63" t="s">
        <v>96</v>
      </c>
      <c r="C298" s="63" t="s">
        <v>671</v>
      </c>
      <c r="D298" s="61"/>
      <c r="E298" s="45">
        <v>0.21</v>
      </c>
      <c r="F298" s="45">
        <v>0.21</v>
      </c>
      <c r="G298" s="66">
        <v>46078</v>
      </c>
      <c r="H298" s="45" t="str">
        <f>IF(ISNUMBER(E298),F298-E298,"N/A")</f>
        <v>N/A</v>
      </c>
      <c r="I298" s="46" t="str">
        <f>IF(E298&lt;&gt;"",IF(F298=E298,"No Change",IF(F298&gt;E298,"Increase","Decrease")),"New")</f>
        <v>Increase</v>
      </c>
      <c r="J298" s="58"/>
      <c r="K298" s="59" t="str">
        <f>IF(LEN(J298)&gt;0,IF(OR(ISLOGICAL(J298),J298="TRUE"),"Yes",""),"")</f>
      </c>
      <c r="L298" s="59"/>
      <c r="M298" s="59"/>
      <c r="N298" s="62" t="str">
        <f>IF(LEN(M298)&gt;0,IF(OR(ISLOGICAL(M298),M298="TRUE"),"Yes",""),"")</f>
      </c>
      <c r="O298" s="59"/>
      <c r="P298" s="62" t="str">
        <f>IF(LEN(O298)&gt;0,IF(OR(ISLOGICAL(O298),O298="TRUE"),"Yes",""),"")</f>
      </c>
      <c r="Q298" s="62" t="s">
        <v>98</v>
      </c>
      <c r="R298" s="63"/>
    </row>
    <row r="299" spans="1:18" s="47" customFormat="1" ht="51">
      <c r="A299" s="63" t="s">
        <v>672</v>
      </c>
      <c r="B299" s="63" t="s">
        <v>96</v>
      </c>
      <c r="C299" s="63" t="s">
        <v>673</v>
      </c>
      <c r="D299" s="61"/>
      <c r="E299" s="45">
        <v>0.21</v>
      </c>
      <c r="F299" s="45">
        <v>0.21</v>
      </c>
      <c r="G299" s="66">
        <v>45597</v>
      </c>
      <c r="H299" s="45" t="str">
        <f>IF(ISNUMBER(E299),F299-E299,"N/A")</f>
        <v>N/A</v>
      </c>
      <c r="I299" s="46" t="str">
        <f>IF(E299&lt;&gt;"",IF(F299=E299,"No Change",IF(F299&gt;E299,"Increase","Decrease")),"New")</f>
        <v>Increase</v>
      </c>
      <c r="J299" s="58"/>
      <c r="K299" s="59" t="str">
        <f>IF(LEN(J299)&gt;0,IF(OR(ISLOGICAL(J299),J299="TRUE"),"Yes",""),"")</f>
      </c>
      <c r="L299" s="59"/>
      <c r="M299" s="59"/>
      <c r="N299" s="62" t="str">
        <f>IF(LEN(M299)&gt;0,IF(OR(ISLOGICAL(M299),M299="TRUE"),"Yes",""),"")</f>
      </c>
      <c r="O299" s="59"/>
      <c r="P299" s="62" t="str">
        <f>IF(LEN(O299)&gt;0,IF(OR(ISLOGICAL(O299),O299="TRUE"),"Yes",""),"")</f>
      </c>
      <c r="Q299" s="62" t="s">
        <v>98</v>
      </c>
      <c r="R299" s="63"/>
    </row>
    <row r="300" spans="1:18" s="47" customFormat="1" ht="51">
      <c r="A300" s="63" t="s">
        <v>674</v>
      </c>
      <c r="B300" s="63" t="s">
        <v>96</v>
      </c>
      <c r="C300" s="63" t="s">
        <v>675</v>
      </c>
      <c r="D300" s="61"/>
      <c r="E300" s="45">
        <v>0.033</v>
      </c>
      <c r="F300" s="45">
        <v>0.033</v>
      </c>
      <c r="G300" s="66">
        <v>46078</v>
      </c>
      <c r="H300" s="45" t="str">
        <f>IF(ISNUMBER(E300),F300-E300,"N/A")</f>
        <v>N/A</v>
      </c>
      <c r="I300" s="46" t="str">
        <f>IF(E300&lt;&gt;"",IF(F300=E300,"No Change",IF(F300&gt;E300,"Increase","Decrease")),"New")</f>
        <v>Increase</v>
      </c>
      <c r="J300" s="58"/>
      <c r="K300" s="59" t="str">
        <f>IF(LEN(J300)&gt;0,IF(OR(ISLOGICAL(J300),J300="TRUE"),"Yes",""),"")</f>
      </c>
      <c r="L300" s="59"/>
      <c r="M300" s="59"/>
      <c r="N300" s="62" t="str">
        <f>IF(LEN(M300)&gt;0,IF(OR(ISLOGICAL(M300),M300="TRUE"),"Yes",""),"")</f>
      </c>
      <c r="O300" s="59"/>
      <c r="P300" s="62" t="str">
        <f>IF(LEN(O300)&gt;0,IF(OR(ISLOGICAL(O300),O300="TRUE"),"Yes",""),"")</f>
      </c>
      <c r="Q300" s="62" t="s">
        <v>98</v>
      </c>
      <c r="R300" s="63"/>
    </row>
    <row r="301" spans="1:18" s="47" customFormat="1" ht="51">
      <c r="A301" s="63" t="s">
        <v>676</v>
      </c>
      <c r="B301" s="63" t="s">
        <v>96</v>
      </c>
      <c r="C301" s="63" t="s">
        <v>677</v>
      </c>
      <c r="D301" s="61"/>
      <c r="E301" s="45">
        <v>0.0902</v>
      </c>
      <c r="F301" s="45">
        <v>0.0902</v>
      </c>
      <c r="G301" s="66">
        <v>46106</v>
      </c>
      <c r="H301" s="45" t="str">
        <f>IF(ISNUMBER(E301),F301-E301,"N/A")</f>
        <v>N/A</v>
      </c>
      <c r="I301" s="46" t="str">
        <f>IF(E301&lt;&gt;"",IF(F301=E301,"No Change",IF(F301&gt;E301,"Increase","Decrease")),"New")</f>
        <v>Increase</v>
      </c>
      <c r="J301" s="58" t="s">
        <v>122</v>
      </c>
      <c r="K301" s="59" t="str">
        <f>IF(LEN(J301)&gt;0,IF(OR(ISLOGICAL(J301),J301="TRUE"),"Yes",""),"")</f>
      </c>
      <c r="L301" s="59"/>
      <c r="M301" s="59"/>
      <c r="N301" s="62" t="str">
        <f>IF(LEN(M301)&gt;0,IF(OR(ISLOGICAL(M301),M301="TRUE"),"Yes",""),"")</f>
      </c>
      <c r="O301" s="59"/>
      <c r="P301" s="62" t="str">
        <f>IF(LEN(O301)&gt;0,IF(OR(ISLOGICAL(O301),O301="TRUE"),"Yes",""),"")</f>
      </c>
      <c r="Q301" s="62" t="s">
        <v>98</v>
      </c>
      <c r="R301" s="63"/>
    </row>
    <row r="302" spans="1:18" s="47" customFormat="1" ht="51">
      <c r="A302" s="63" t="s">
        <v>678</v>
      </c>
      <c r="B302" s="63" t="s">
        <v>96</v>
      </c>
      <c r="C302" s="63" t="s">
        <v>679</v>
      </c>
      <c r="D302" s="61"/>
      <c r="E302" s="45">
        <v>0.0902</v>
      </c>
      <c r="F302" s="45">
        <v>0.0902</v>
      </c>
      <c r="G302" s="66">
        <v>46082</v>
      </c>
      <c r="H302" s="45" t="str">
        <f>IF(ISNUMBER(E302),F302-E302,"N/A")</f>
        <v>N/A</v>
      </c>
      <c r="I302" s="46" t="str">
        <f>IF(E302&lt;&gt;"",IF(F302=E302,"No Change",IF(F302&gt;E302,"Increase","Decrease")),"New")</f>
        <v>Increase</v>
      </c>
      <c r="J302" s="58"/>
      <c r="K302" s="59" t="str">
        <f>IF(LEN(J302)&gt;0,IF(OR(ISLOGICAL(J302),J302="TRUE"),"Yes",""),"")</f>
      </c>
      <c r="L302" s="59"/>
      <c r="M302" s="59"/>
      <c r="N302" s="62" t="str">
        <f>IF(LEN(M302)&gt;0,IF(OR(ISLOGICAL(M302),M302="TRUE"),"Yes",""),"")</f>
      </c>
      <c r="O302" s="59"/>
      <c r="P302" s="62" t="str">
        <f>IF(LEN(O302)&gt;0,IF(OR(ISLOGICAL(O302),O302="TRUE"),"Yes",""),"")</f>
      </c>
      <c r="Q302" s="62" t="s">
        <v>98</v>
      </c>
      <c r="R302" s="63"/>
    </row>
    <row r="303" spans="1:18" s="47" customFormat="1" ht="51">
      <c r="A303" s="63" t="s">
        <v>680</v>
      </c>
      <c r="B303" s="63" t="s">
        <v>96</v>
      </c>
      <c r="C303" s="63" t="s">
        <v>681</v>
      </c>
      <c r="D303" s="61"/>
      <c r="E303" s="45">
        <v>0.0887</v>
      </c>
      <c r="F303" s="45">
        <v>0.0887</v>
      </c>
      <c r="G303" s="66">
        <v>46082</v>
      </c>
      <c r="H303" s="45" t="str">
        <f>IF(ISNUMBER(E303),F303-E303,"N/A")</f>
        <v>N/A</v>
      </c>
      <c r="I303" s="46" t="str">
        <f>IF(E303&lt;&gt;"",IF(F303=E303,"No Change",IF(F303&gt;E303,"Increase","Decrease")),"New")</f>
        <v>Increase</v>
      </c>
      <c r="J303" s="58"/>
      <c r="K303" s="59" t="str">
        <f>IF(LEN(J303)&gt;0,IF(OR(ISLOGICAL(J303),J303="TRUE"),"Yes",""),"")</f>
      </c>
      <c r="L303" s="59"/>
      <c r="M303" s="59"/>
      <c r="N303" s="62" t="str">
        <f>IF(LEN(M303)&gt;0,IF(OR(ISLOGICAL(M303),M303="TRUE"),"Yes",""),"")</f>
      </c>
      <c r="O303" s="59"/>
      <c r="P303" s="62" t="str">
        <f>IF(LEN(O303)&gt;0,IF(OR(ISLOGICAL(O303),O303="TRUE"),"Yes",""),"")</f>
      </c>
      <c r="Q303" s="62" t="s">
        <v>98</v>
      </c>
      <c r="R303" s="63"/>
    </row>
    <row r="304" spans="1:18" s="47" customFormat="1" ht="51">
      <c r="A304" s="63" t="s">
        <v>682</v>
      </c>
      <c r="B304" s="63" t="s">
        <v>96</v>
      </c>
      <c r="C304" s="63" t="s">
        <v>683</v>
      </c>
      <c r="D304" s="61"/>
      <c r="E304" s="45">
        <v>0.1007</v>
      </c>
      <c r="F304" s="45">
        <v>0.1007</v>
      </c>
      <c r="G304" s="66">
        <v>46106</v>
      </c>
      <c r="H304" s="45" t="str">
        <f>IF(ISNUMBER(E304),F304-E304,"N/A")</f>
        <v>N/A</v>
      </c>
      <c r="I304" s="46" t="str">
        <f>IF(E304&lt;&gt;"",IF(F304=E304,"No Change",IF(F304&gt;E304,"Increase","Decrease")),"New")</f>
        <v>Increase</v>
      </c>
      <c r="J304" s="58" t="s">
        <v>122</v>
      </c>
      <c r="K304" s="59" t="str">
        <f>IF(LEN(J304)&gt;0,IF(OR(ISLOGICAL(J304),J304="TRUE"),"Yes",""),"")</f>
      </c>
      <c r="L304" s="59"/>
      <c r="M304" s="59"/>
      <c r="N304" s="62" t="str">
        <f>IF(LEN(M304)&gt;0,IF(OR(ISLOGICAL(M304),M304="TRUE"),"Yes",""),"")</f>
      </c>
      <c r="O304" s="59"/>
      <c r="P304" s="62" t="str">
        <f>IF(LEN(O304)&gt;0,IF(OR(ISLOGICAL(O304),O304="TRUE"),"Yes",""),"")</f>
      </c>
      <c r="Q304" s="62" t="s">
        <v>98</v>
      </c>
      <c r="R304" s="63"/>
    </row>
    <row r="305" spans="1:18" s="47" customFormat="1" ht="51">
      <c r="A305" s="63" t="s">
        <v>684</v>
      </c>
      <c r="B305" s="63" t="s">
        <v>96</v>
      </c>
      <c r="C305" s="63" t="s">
        <v>685</v>
      </c>
      <c r="D305" s="61"/>
      <c r="E305" s="45">
        <v>0.033</v>
      </c>
      <c r="F305" s="45">
        <v>0.033</v>
      </c>
      <c r="G305" s="66">
        <v>46082</v>
      </c>
      <c r="H305" s="45" t="str">
        <f>IF(ISNUMBER(E305),F305-E305,"N/A")</f>
        <v>N/A</v>
      </c>
      <c r="I305" s="46" t="str">
        <f>IF(E305&lt;&gt;"",IF(F305=E305,"No Change",IF(F305&gt;E305,"Increase","Decrease")),"New")</f>
        <v>Increase</v>
      </c>
      <c r="J305" s="58"/>
      <c r="K305" s="59" t="str">
        <f>IF(LEN(J305)&gt;0,IF(OR(ISLOGICAL(J305),J305="TRUE"),"Yes",""),"")</f>
      </c>
      <c r="L305" s="59"/>
      <c r="M305" s="59"/>
      <c r="N305" s="62" t="str">
        <f>IF(LEN(M305)&gt;0,IF(OR(ISLOGICAL(M305),M305="TRUE"),"Yes",""),"")</f>
      </c>
      <c r="O305" s="59"/>
      <c r="P305" s="62" t="str">
        <f>IF(LEN(O305)&gt;0,IF(OR(ISLOGICAL(O305),O305="TRUE"),"Yes",""),"")</f>
      </c>
      <c r="Q305" s="62" t="s">
        <v>98</v>
      </c>
      <c r="R305" s="63"/>
    </row>
    <row r="306" spans="1:18" s="47" customFormat="1" ht="51">
      <c r="A306" s="63" t="s">
        <v>686</v>
      </c>
      <c r="B306" s="63" t="s">
        <v>96</v>
      </c>
      <c r="C306" s="63" t="s">
        <v>687</v>
      </c>
      <c r="D306" s="61"/>
      <c r="E306" s="45">
        <v>0.033</v>
      </c>
      <c r="F306" s="45">
        <v>0.033</v>
      </c>
      <c r="G306" s="66">
        <v>46082</v>
      </c>
      <c r="H306" s="45" t="str">
        <f>IF(ISNUMBER(E306),F306-E306,"N/A")</f>
        <v>N/A</v>
      </c>
      <c r="I306" s="46" t="str">
        <f>IF(E306&lt;&gt;"",IF(F306=E306,"No Change",IF(F306&gt;E306,"Increase","Decrease")),"New")</f>
        <v>Increase</v>
      </c>
      <c r="J306" s="58"/>
      <c r="K306" s="59" t="str">
        <f>IF(LEN(J306)&gt;0,IF(OR(ISLOGICAL(J306),J306="TRUE"),"Yes",""),"")</f>
      </c>
      <c r="L306" s="59"/>
      <c r="M306" s="59"/>
      <c r="N306" s="62" t="str">
        <f>IF(LEN(M306)&gt;0,IF(OR(ISLOGICAL(M306),M306="TRUE"),"Yes",""),"")</f>
      </c>
      <c r="O306" s="59"/>
      <c r="P306" s="62" t="str">
        <f>IF(LEN(O306)&gt;0,IF(OR(ISLOGICAL(O306),O306="TRUE"),"Yes",""),"")</f>
      </c>
      <c r="Q306" s="62" t="s">
        <v>98</v>
      </c>
      <c r="R306" s="63"/>
    </row>
    <row r="307" spans="1:18" s="47" customFormat="1" ht="51">
      <c r="A307" s="63" t="s">
        <v>688</v>
      </c>
      <c r="B307" s="63" t="s">
        <v>96</v>
      </c>
      <c r="C307" s="63" t="s">
        <v>689</v>
      </c>
      <c r="D307" s="61"/>
      <c r="E307" s="45">
        <v>0.033</v>
      </c>
      <c r="F307" s="45">
        <v>0.033</v>
      </c>
      <c r="G307" s="66">
        <v>46082</v>
      </c>
      <c r="H307" s="45" t="str">
        <f>IF(ISNUMBER(E307),F307-E307,"N/A")</f>
        <v>N/A</v>
      </c>
      <c r="I307" s="46" t="str">
        <f>IF(E307&lt;&gt;"",IF(F307=E307,"No Change",IF(F307&gt;E307,"Increase","Decrease")),"New")</f>
        <v>Increase</v>
      </c>
      <c r="J307" s="58"/>
      <c r="K307" s="59" t="str">
        <f>IF(LEN(J307)&gt;0,IF(OR(ISLOGICAL(J307),J307="TRUE"),"Yes",""),"")</f>
      </c>
      <c r="L307" s="59"/>
      <c r="M307" s="59"/>
      <c r="N307" s="62" t="str">
        <f>IF(LEN(M307)&gt;0,IF(OR(ISLOGICAL(M307),M307="TRUE"),"Yes",""),"")</f>
      </c>
      <c r="O307" s="59"/>
      <c r="P307" s="62" t="str">
        <f>IF(LEN(O307)&gt;0,IF(OR(ISLOGICAL(O307),O307="TRUE"),"Yes",""),"")</f>
      </c>
      <c r="Q307" s="62" t="s">
        <v>98</v>
      </c>
      <c r="R307" s="63"/>
    </row>
    <row r="308" spans="1:18" s="47" customFormat="1" ht="51">
      <c r="A308" s="63" t="s">
        <v>690</v>
      </c>
      <c r="B308" s="63" t="s">
        <v>96</v>
      </c>
      <c r="C308" s="63" t="s">
        <v>691</v>
      </c>
      <c r="D308" s="61"/>
      <c r="E308" s="45">
        <v>0.21</v>
      </c>
      <c r="F308" s="45">
        <v>0.21</v>
      </c>
      <c r="G308" s="66">
        <v>46082</v>
      </c>
      <c r="H308" s="45" t="str">
        <f>IF(ISNUMBER(E308),F308-E308,"N/A")</f>
        <v>N/A</v>
      </c>
      <c r="I308" s="46" t="str">
        <f>IF(E308&lt;&gt;"",IF(F308=E308,"No Change",IF(F308&gt;E308,"Increase","Decrease")),"New")</f>
        <v>Increase</v>
      </c>
      <c r="J308" s="58"/>
      <c r="K308" s="59" t="str">
        <f>IF(LEN(J308)&gt;0,IF(OR(ISLOGICAL(J308),J308="TRUE"),"Yes",""),"")</f>
      </c>
      <c r="L308" s="59"/>
      <c r="M308" s="59"/>
      <c r="N308" s="62" t="str">
        <f>IF(LEN(M308)&gt;0,IF(OR(ISLOGICAL(M308),M308="TRUE"),"Yes",""),"")</f>
      </c>
      <c r="O308" s="59"/>
      <c r="P308" s="62" t="str">
        <f>IF(LEN(O308)&gt;0,IF(OR(ISLOGICAL(O308),O308="TRUE"),"Yes",""),"")</f>
      </c>
      <c r="Q308" s="62" t="s">
        <v>98</v>
      </c>
      <c r="R308" s="63"/>
    </row>
    <row r="309" spans="1:18" s="47" customFormat="1" ht="51">
      <c r="A309" s="63" t="s">
        <v>692</v>
      </c>
      <c r="B309" s="63" t="s">
        <v>96</v>
      </c>
      <c r="C309" s="63" t="s">
        <v>693</v>
      </c>
      <c r="D309" s="61"/>
      <c r="E309" s="45">
        <v>0.1801</v>
      </c>
      <c r="F309" s="45">
        <v>0.1801</v>
      </c>
      <c r="G309" s="66">
        <v>46092</v>
      </c>
      <c r="H309" s="45" t="str">
        <f>IF(ISNUMBER(E309),F309-E309,"N/A")</f>
        <v>N/A</v>
      </c>
      <c r="I309" s="46" t="str">
        <f>IF(E309&lt;&gt;"",IF(F309=E309,"No Change",IF(F309&gt;E309,"Increase","Decrease")),"New")</f>
        <v>Increase</v>
      </c>
      <c r="J309" s="58" t="s">
        <v>122</v>
      </c>
      <c r="K309" s="59" t="str">
        <f>IF(LEN(J309)&gt;0,IF(OR(ISLOGICAL(J309),J309="TRUE"),"Yes",""),"")</f>
      </c>
      <c r="L309" s="59"/>
      <c r="M309" s="59"/>
      <c r="N309" s="62" t="str">
        <f>IF(LEN(M309)&gt;0,IF(OR(ISLOGICAL(M309),M309="TRUE"),"Yes",""),"")</f>
      </c>
      <c r="O309" s="59"/>
      <c r="P309" s="62" t="str">
        <f>IF(LEN(O309)&gt;0,IF(OR(ISLOGICAL(O309),O309="TRUE"),"Yes",""),"")</f>
      </c>
      <c r="Q309" s="62" t="s">
        <v>98</v>
      </c>
      <c r="R309" s="63"/>
    </row>
    <row r="310" spans="1:18" s="47" customFormat="1" ht="51">
      <c r="A310" s="63" t="s">
        <v>694</v>
      </c>
      <c r="B310" s="63" t="s">
        <v>96</v>
      </c>
      <c r="C310" s="63" t="s">
        <v>695</v>
      </c>
      <c r="D310" s="61"/>
      <c r="E310" s="45">
        <v>0.1065</v>
      </c>
      <c r="F310" s="45">
        <v>0.1065</v>
      </c>
      <c r="G310" s="66">
        <v>46074</v>
      </c>
      <c r="H310" s="45" t="str">
        <f>IF(ISNUMBER(E310),F310-E310,"N/A")</f>
        <v>N/A</v>
      </c>
      <c r="I310" s="46" t="str">
        <f>IF(E310&lt;&gt;"",IF(F310=E310,"No Change",IF(F310&gt;E310,"Increase","Decrease")),"New")</f>
        <v>Increase</v>
      </c>
      <c r="J310" s="58"/>
      <c r="K310" s="59" t="str">
        <f>IF(LEN(J310)&gt;0,IF(OR(ISLOGICAL(J310),J310="TRUE"),"Yes",""),"")</f>
      </c>
      <c r="L310" s="59"/>
      <c r="M310" s="59"/>
      <c r="N310" s="62" t="str">
        <f>IF(LEN(M310)&gt;0,IF(OR(ISLOGICAL(M310),M310="TRUE"),"Yes",""),"")</f>
      </c>
      <c r="O310" s="59"/>
      <c r="P310" s="62" t="str">
        <f>IF(LEN(O310)&gt;0,IF(OR(ISLOGICAL(O310),O310="TRUE"),"Yes",""),"")</f>
      </c>
      <c r="Q310" s="62" t="s">
        <v>98</v>
      </c>
      <c r="R310" s="63"/>
    </row>
    <row r="311" spans="1:18" s="47" customFormat="1" ht="51">
      <c r="A311" s="63" t="s">
        <v>696</v>
      </c>
      <c r="B311" s="63" t="s">
        <v>96</v>
      </c>
      <c r="C311" s="63" t="s">
        <v>697</v>
      </c>
      <c r="D311" s="61"/>
      <c r="E311" s="45">
        <v>0.1065</v>
      </c>
      <c r="F311" s="45">
        <v>0.1065</v>
      </c>
      <c r="G311" s="66">
        <v>46082</v>
      </c>
      <c r="H311" s="45" t="str">
        <f>IF(ISNUMBER(E311),F311-E311,"N/A")</f>
        <v>N/A</v>
      </c>
      <c r="I311" s="46" t="str">
        <f>IF(E311&lt;&gt;"",IF(F311=E311,"No Change",IF(F311&gt;E311,"Increase","Decrease")),"New")</f>
        <v>Increase</v>
      </c>
      <c r="J311" s="58"/>
      <c r="K311" s="59" t="str">
        <f>IF(LEN(J311)&gt;0,IF(OR(ISLOGICAL(J311),J311="TRUE"),"Yes",""),"")</f>
      </c>
      <c r="L311" s="59"/>
      <c r="M311" s="59"/>
      <c r="N311" s="62" t="str">
        <f>IF(LEN(M311)&gt;0,IF(OR(ISLOGICAL(M311),M311="TRUE"),"Yes",""),"")</f>
      </c>
      <c r="O311" s="59"/>
      <c r="P311" s="62" t="str">
        <f>IF(LEN(O311)&gt;0,IF(OR(ISLOGICAL(O311),O311="TRUE"),"Yes",""),"")</f>
      </c>
      <c r="Q311" s="62" t="s">
        <v>98</v>
      </c>
      <c r="R311" s="63"/>
    </row>
    <row r="312" spans="1:18" s="47" customFormat="1" ht="51">
      <c r="A312" s="63" t="s">
        <v>698</v>
      </c>
      <c r="B312" s="63" t="s">
        <v>96</v>
      </c>
      <c r="C312" s="63" t="s">
        <v>699</v>
      </c>
      <c r="D312" s="61"/>
      <c r="E312" s="45">
        <v>0.1065</v>
      </c>
      <c r="F312" s="45">
        <v>0.1065</v>
      </c>
      <c r="G312" s="66">
        <v>46082</v>
      </c>
      <c r="H312" s="45" t="str">
        <f>IF(ISNUMBER(E312),F312-E312,"N/A")</f>
        <v>N/A</v>
      </c>
      <c r="I312" s="46" t="str">
        <f>IF(E312&lt;&gt;"",IF(F312=E312,"No Change",IF(F312&gt;E312,"Increase","Decrease")),"New")</f>
        <v>Increase</v>
      </c>
      <c r="J312" s="58"/>
      <c r="K312" s="59" t="str">
        <f>IF(LEN(J312)&gt;0,IF(OR(ISLOGICAL(J312),J312="TRUE"),"Yes",""),"")</f>
      </c>
      <c r="L312" s="59"/>
      <c r="M312" s="59"/>
      <c r="N312" s="62" t="str">
        <f>IF(LEN(M312)&gt;0,IF(OR(ISLOGICAL(M312),M312="TRUE"),"Yes",""),"")</f>
      </c>
      <c r="O312" s="59"/>
      <c r="P312" s="62" t="str">
        <f>IF(LEN(O312)&gt;0,IF(OR(ISLOGICAL(O312),O312="TRUE"),"Yes",""),"")</f>
      </c>
      <c r="Q312" s="62" t="s">
        <v>98</v>
      </c>
      <c r="R312" s="63"/>
    </row>
    <row r="313" spans="1:18" s="47" customFormat="1" ht="51">
      <c r="A313" s="63" t="s">
        <v>700</v>
      </c>
      <c r="B313" s="63" t="s">
        <v>96</v>
      </c>
      <c r="C313" s="63" t="s">
        <v>701</v>
      </c>
      <c r="D313" s="61"/>
      <c r="E313" s="45">
        <v>0.193</v>
      </c>
      <c r="F313" s="45">
        <v>0.193</v>
      </c>
      <c r="G313" s="66">
        <v>45574</v>
      </c>
      <c r="H313" s="45" t="str">
        <f>IF(ISNUMBER(E313),F313-E313,"N/A")</f>
        <v>N/A</v>
      </c>
      <c r="I313" s="46" t="str">
        <f>IF(E313&lt;&gt;"",IF(F313=E313,"No Change",IF(F313&gt;E313,"Increase","Decrease")),"New")</f>
        <v>Increase</v>
      </c>
      <c r="J313" s="58" t="s">
        <v>122</v>
      </c>
      <c r="K313" s="59" t="str">
        <f>IF(LEN(J313)&gt;0,IF(OR(ISLOGICAL(J313),J313="TRUE"),"Yes",""),"")</f>
      </c>
      <c r="L313" s="59"/>
      <c r="M313" s="59"/>
      <c r="N313" s="62" t="str">
        <f>IF(LEN(M313)&gt;0,IF(OR(ISLOGICAL(M313),M313="TRUE"),"Yes",""),"")</f>
      </c>
      <c r="O313" s="59"/>
      <c r="P313" s="62" t="str">
        <f>IF(LEN(O313)&gt;0,IF(OR(ISLOGICAL(O313),O313="TRUE"),"Yes",""),"")</f>
      </c>
      <c r="Q313" s="62" t="s">
        <v>98</v>
      </c>
      <c r="R313" s="63"/>
    </row>
    <row r="314" spans="1:18" s="47" customFormat="1" ht="51">
      <c r="A314" s="63" t="s">
        <v>702</v>
      </c>
      <c r="B314" s="63" t="s">
        <v>96</v>
      </c>
      <c r="C314" s="63" t="s">
        <v>703</v>
      </c>
      <c r="D314" s="61"/>
      <c r="E314" s="45">
        <v>0.1485</v>
      </c>
      <c r="F314" s="45">
        <v>0.1485</v>
      </c>
      <c r="G314" s="66">
        <v>46078</v>
      </c>
      <c r="H314" s="45" t="str">
        <f>IF(ISNUMBER(E314),F314-E314,"N/A")</f>
        <v>N/A</v>
      </c>
      <c r="I314" s="46" t="str">
        <f>IF(E314&lt;&gt;"",IF(F314=E314,"No Change",IF(F314&gt;E314,"Increase","Decrease")),"New")</f>
        <v>Increase</v>
      </c>
      <c r="J314" s="58" t="s">
        <v>122</v>
      </c>
      <c r="K314" s="59" t="str">
        <f>IF(LEN(J314)&gt;0,IF(OR(ISLOGICAL(J314),J314="TRUE"),"Yes",""),"")</f>
      </c>
      <c r="L314" s="59"/>
      <c r="M314" s="59"/>
      <c r="N314" s="62" t="str">
        <f>IF(LEN(M314)&gt;0,IF(OR(ISLOGICAL(M314),M314="TRUE"),"Yes",""),"")</f>
      </c>
      <c r="O314" s="59"/>
      <c r="P314" s="62" t="str">
        <f>IF(LEN(O314)&gt;0,IF(OR(ISLOGICAL(O314),O314="TRUE"),"Yes",""),"")</f>
      </c>
      <c r="Q314" s="62" t="s">
        <v>98</v>
      </c>
      <c r="R314" s="63"/>
    </row>
    <row r="315" spans="1:18" s="47" customFormat="1" ht="51">
      <c r="A315" s="63" t="s">
        <v>704</v>
      </c>
      <c r="B315" s="63" t="s">
        <v>96</v>
      </c>
      <c r="C315" s="63" t="s">
        <v>705</v>
      </c>
      <c r="D315" s="61"/>
      <c r="E315" s="45">
        <v>0.1795</v>
      </c>
      <c r="F315" s="45">
        <v>0.1795</v>
      </c>
      <c r="G315" s="66">
        <v>46078</v>
      </c>
      <c r="H315" s="45" t="str">
        <f>IF(ISNUMBER(E315),F315-E315,"N/A")</f>
        <v>N/A</v>
      </c>
      <c r="I315" s="46" t="str">
        <f>IF(E315&lt;&gt;"",IF(F315=E315,"No Change",IF(F315&gt;E315,"Increase","Decrease")),"New")</f>
        <v>Increase</v>
      </c>
      <c r="J315" s="58" t="s">
        <v>122</v>
      </c>
      <c r="K315" s="59" t="str">
        <f>IF(LEN(J315)&gt;0,IF(OR(ISLOGICAL(J315),J315="TRUE"),"Yes",""),"")</f>
      </c>
      <c r="L315" s="59"/>
      <c r="M315" s="59"/>
      <c r="N315" s="62" t="str">
        <f>IF(LEN(M315)&gt;0,IF(OR(ISLOGICAL(M315),M315="TRUE"),"Yes",""),"")</f>
      </c>
      <c r="O315" s="59"/>
      <c r="P315" s="62" t="str">
        <f>IF(LEN(O315)&gt;0,IF(OR(ISLOGICAL(O315),O315="TRUE"),"Yes",""),"")</f>
      </c>
      <c r="Q315" s="62" t="s">
        <v>98</v>
      </c>
      <c r="R315" s="63"/>
    </row>
    <row r="316" spans="1:18" s="47" customFormat="1" ht="51">
      <c r="A316" s="63" t="s">
        <v>706</v>
      </c>
      <c r="B316" s="63" t="s">
        <v>96</v>
      </c>
      <c r="C316" s="63" t="s">
        <v>707</v>
      </c>
      <c r="D316" s="61"/>
      <c r="E316" s="45">
        <v>0.162</v>
      </c>
      <c r="F316" s="45">
        <v>0.162</v>
      </c>
      <c r="G316" s="66">
        <v>46078</v>
      </c>
      <c r="H316" s="45" t="str">
        <f>IF(ISNUMBER(E316),F316-E316,"N/A")</f>
        <v>N/A</v>
      </c>
      <c r="I316" s="46" t="str">
        <f>IF(E316&lt;&gt;"",IF(F316=E316,"No Change",IF(F316&gt;E316,"Increase","Decrease")),"New")</f>
        <v>Increase</v>
      </c>
      <c r="J316" s="58" t="s">
        <v>122</v>
      </c>
      <c r="K316" s="59" t="str">
        <f>IF(LEN(J316)&gt;0,IF(OR(ISLOGICAL(J316),J316="TRUE"),"Yes",""),"")</f>
      </c>
      <c r="L316" s="59"/>
      <c r="M316" s="59"/>
      <c r="N316" s="62" t="str">
        <f>IF(LEN(M316)&gt;0,IF(OR(ISLOGICAL(M316),M316="TRUE"),"Yes",""),"")</f>
      </c>
      <c r="O316" s="59"/>
      <c r="P316" s="62" t="str">
        <f>IF(LEN(O316)&gt;0,IF(OR(ISLOGICAL(O316),O316="TRUE"),"Yes",""),"")</f>
      </c>
      <c r="Q316" s="62" t="s">
        <v>98</v>
      </c>
      <c r="R316" s="63"/>
    </row>
    <row r="317" spans="1:18" s="47" customFormat="1" ht="51">
      <c r="A317" s="63" t="s">
        <v>708</v>
      </c>
      <c r="B317" s="63" t="s">
        <v>96</v>
      </c>
      <c r="C317" s="63" t="s">
        <v>709</v>
      </c>
      <c r="D317" s="61"/>
      <c r="E317" s="45">
        <v>0.081</v>
      </c>
      <c r="F317" s="45">
        <v>0.08</v>
      </c>
      <c r="G317" s="66">
        <v>46141</v>
      </c>
      <c r="H317" s="45" t="str">
        <f>IF(ISNUMBER(E317),F317-E317,"N/A")</f>
        <v>N/A</v>
      </c>
      <c r="I317" s="46" t="str">
        <f>IF(E317&lt;&gt;"",IF(F317=E317,"No Change",IF(F317&gt;E317,"Increase","Decrease")),"New")</f>
        <v>Increase</v>
      </c>
      <c r="J317" s="58"/>
      <c r="K317" s="59" t="str">
        <f>IF(LEN(J317)&gt;0,IF(OR(ISLOGICAL(J317),J317="TRUE"),"Yes",""),"")</f>
      </c>
      <c r="L317" s="59"/>
      <c r="M317" s="59"/>
      <c r="N317" s="62" t="str">
        <f>IF(LEN(M317)&gt;0,IF(OR(ISLOGICAL(M317),M317="TRUE"),"Yes",""),"")</f>
      </c>
      <c r="O317" s="59"/>
      <c r="P317" s="62" t="str">
        <f>IF(LEN(O317)&gt;0,IF(OR(ISLOGICAL(O317),O317="TRUE"),"Yes",""),"")</f>
      </c>
      <c r="Q317" s="62" t="s">
        <v>98</v>
      </c>
      <c r="R317" s="63"/>
    </row>
    <row r="318" spans="1:18" s="47" customFormat="1" ht="51">
      <c r="A318" s="63" t="s">
        <v>710</v>
      </c>
      <c r="B318" s="63" t="s">
        <v>96</v>
      </c>
      <c r="C318" s="63" t="s">
        <v>711</v>
      </c>
      <c r="D318" s="61"/>
      <c r="E318" s="45">
        <v>0.081</v>
      </c>
      <c r="F318" s="45">
        <v>0.081</v>
      </c>
      <c r="G318" s="66">
        <v>45420</v>
      </c>
      <c r="H318" s="45" t="str">
        <f>IF(ISNUMBER(E318),F318-E318,"N/A")</f>
        <v>N/A</v>
      </c>
      <c r="I318" s="46" t="str">
        <f>IF(E318&lt;&gt;"",IF(F318=E318,"No Change",IF(F318&gt;E318,"Increase","Decrease")),"New")</f>
        <v>Increase</v>
      </c>
      <c r="J318" s="58" t="s">
        <v>122</v>
      </c>
      <c r="K318" s="59" t="str">
        <f>IF(LEN(J318)&gt;0,IF(OR(ISLOGICAL(J318),J318="TRUE"),"Yes",""),"")</f>
      </c>
      <c r="L318" s="59"/>
      <c r="M318" s="59"/>
      <c r="N318" s="62" t="str">
        <f>IF(LEN(M318)&gt;0,IF(OR(ISLOGICAL(M318),M318="TRUE"),"Yes",""),"")</f>
      </c>
      <c r="O318" s="59"/>
      <c r="P318" s="62" t="str">
        <f>IF(LEN(O318)&gt;0,IF(OR(ISLOGICAL(O318),O318="TRUE"),"Yes",""),"")</f>
      </c>
      <c r="Q318" s="62" t="s">
        <v>98</v>
      </c>
      <c r="R318" s="63"/>
    </row>
    <row r="319" spans="1:18" s="47" customFormat="1" ht="51">
      <c r="A319" s="63" t="s">
        <v>712</v>
      </c>
      <c r="B319" s="63" t="s">
        <v>96</v>
      </c>
      <c r="C319" s="63" t="s">
        <v>713</v>
      </c>
      <c r="D319" s="61"/>
      <c r="E319" s="45">
        <v>0.11</v>
      </c>
      <c r="F319" s="45">
        <v>0.1095</v>
      </c>
      <c r="G319" s="66">
        <v>46143</v>
      </c>
      <c r="H319" s="45" t="str">
        <f>IF(ISNUMBER(E319),F319-E319,"N/A")</f>
        <v>N/A</v>
      </c>
      <c r="I319" s="46" t="str">
        <f>IF(E319&lt;&gt;"",IF(F319=E319,"No Change",IF(F319&gt;E319,"Increase","Decrease")),"New")</f>
        <v>Increase</v>
      </c>
      <c r="J319" s="58" t="s">
        <v>122</v>
      </c>
      <c r="K319" s="59" t="str">
        <f>IF(LEN(J319)&gt;0,IF(OR(ISLOGICAL(J319),J319="TRUE"),"Yes",""),"")</f>
      </c>
      <c r="L319" s="59"/>
      <c r="M319" s="59"/>
      <c r="N319" s="62" t="str">
        <f>IF(LEN(M319)&gt;0,IF(OR(ISLOGICAL(M319),M319="TRUE"),"Yes",""),"")</f>
      </c>
      <c r="O319" s="59"/>
      <c r="P319" s="62" t="str">
        <f>IF(LEN(O319)&gt;0,IF(OR(ISLOGICAL(O319),O319="TRUE"),"Yes",""),"")</f>
      </c>
      <c r="Q319" s="62" t="s">
        <v>98</v>
      </c>
      <c r="R319" s="63"/>
    </row>
    <row r="320" spans="1:18" s="47" customFormat="1" ht="51">
      <c r="A320" s="63" t="s">
        <v>714</v>
      </c>
      <c r="B320" s="63" t="s">
        <v>96</v>
      </c>
      <c r="C320" s="63" t="s">
        <v>715</v>
      </c>
      <c r="D320" s="61"/>
      <c r="E320" s="45">
        <v>0.091</v>
      </c>
      <c r="F320" s="45">
        <v>0.091</v>
      </c>
      <c r="G320" s="66">
        <v>45553</v>
      </c>
      <c r="H320" s="45" t="str">
        <f>IF(ISNUMBER(E320),F320-E320,"N/A")</f>
        <v>N/A</v>
      </c>
      <c r="I320" s="46" t="str">
        <f>IF(E320&lt;&gt;"",IF(F320=E320,"No Change",IF(F320&gt;E320,"Increase","Decrease")),"New")</f>
        <v>Increase</v>
      </c>
      <c r="J320" s="58" t="s">
        <v>122</v>
      </c>
      <c r="K320" s="59" t="str">
        <f>IF(LEN(J320)&gt;0,IF(OR(ISLOGICAL(J320),J320="TRUE"),"Yes",""),"")</f>
      </c>
      <c r="L320" s="59"/>
      <c r="M320" s="59"/>
      <c r="N320" s="62" t="str">
        <f>IF(LEN(M320)&gt;0,IF(OR(ISLOGICAL(M320),M320="TRUE"),"Yes",""),"")</f>
      </c>
      <c r="O320" s="59"/>
      <c r="P320" s="62" t="str">
        <f>IF(LEN(O320)&gt;0,IF(OR(ISLOGICAL(O320),O320="TRUE"),"Yes",""),"")</f>
      </c>
      <c r="Q320" s="62" t="s">
        <v>98</v>
      </c>
      <c r="R320" s="63"/>
    </row>
    <row r="321" spans="1:18" s="47" customFormat="1" ht="51">
      <c r="A321" s="63" t="s">
        <v>716</v>
      </c>
      <c r="B321" s="63" t="s">
        <v>96</v>
      </c>
      <c r="C321" s="63" t="s">
        <v>717</v>
      </c>
      <c r="D321" s="61"/>
      <c r="E321" s="45">
        <v>0.11</v>
      </c>
      <c r="F321" s="45">
        <v>0.1095</v>
      </c>
      <c r="G321" s="66">
        <v>46143</v>
      </c>
      <c r="H321" s="45" t="str">
        <f>IF(ISNUMBER(E321),F321-E321,"N/A")</f>
        <v>N/A</v>
      </c>
      <c r="I321" s="46" t="str">
        <f>IF(E321&lt;&gt;"",IF(F321=E321,"No Change",IF(F321&gt;E321,"Increase","Decrease")),"New")</f>
        <v>Increase</v>
      </c>
      <c r="J321" s="58" t="s">
        <v>122</v>
      </c>
      <c r="K321" s="59" t="str">
        <f>IF(LEN(J321)&gt;0,IF(OR(ISLOGICAL(J321),J321="TRUE"),"Yes",""),"")</f>
      </c>
      <c r="L321" s="59"/>
      <c r="M321" s="59"/>
      <c r="N321" s="62" t="str">
        <f>IF(LEN(M321)&gt;0,IF(OR(ISLOGICAL(M321),M321="TRUE"),"Yes",""),"")</f>
      </c>
      <c r="O321" s="59"/>
      <c r="P321" s="62" t="str">
        <f>IF(LEN(O321)&gt;0,IF(OR(ISLOGICAL(O321),O321="TRUE"),"Yes",""),"")</f>
      </c>
      <c r="Q321" s="62" t="s">
        <v>98</v>
      </c>
      <c r="R321" s="63"/>
    </row>
    <row r="322" spans="1:18" s="47" customFormat="1" ht="51">
      <c r="A322" s="63" t="s">
        <v>718</v>
      </c>
      <c r="B322" s="63" t="s">
        <v>96</v>
      </c>
      <c r="C322" s="63" t="s">
        <v>719</v>
      </c>
      <c r="D322" s="61"/>
      <c r="E322" s="45">
        <v>0.125</v>
      </c>
      <c r="F322" s="45">
        <v>0.125</v>
      </c>
      <c r="G322" s="66">
        <v>46092</v>
      </c>
      <c r="H322" s="45" t="str">
        <f>IF(ISNUMBER(E322),F322-E322,"N/A")</f>
        <v>N/A</v>
      </c>
      <c r="I322" s="46" t="str">
        <f>IF(E322&lt;&gt;"",IF(F322=E322,"No Change",IF(F322&gt;E322,"Increase","Decrease")),"New")</f>
        <v>Increase</v>
      </c>
      <c r="J322" s="58"/>
      <c r="K322" s="59" t="str">
        <f>IF(LEN(J322)&gt;0,IF(OR(ISLOGICAL(J322),J322="TRUE"),"Yes",""),"")</f>
      </c>
      <c r="L322" s="59"/>
      <c r="M322" s="59"/>
      <c r="N322" s="62" t="str">
        <f>IF(LEN(M322)&gt;0,IF(OR(ISLOGICAL(M322),M322="TRUE"),"Yes",""),"")</f>
      </c>
      <c r="O322" s="59"/>
      <c r="P322" s="62" t="str">
        <f>IF(LEN(O322)&gt;0,IF(OR(ISLOGICAL(O322),O322="TRUE"),"Yes",""),"")</f>
      </c>
      <c r="Q322" s="62" t="s">
        <v>98</v>
      </c>
      <c r="R322" s="63"/>
    </row>
    <row r="323" spans="1:18" s="47" customFormat="1" ht="51">
      <c r="A323" s="63" t="s">
        <v>720</v>
      </c>
      <c r="B323" s="63" t="s">
        <v>96</v>
      </c>
      <c r="C323" s="63" t="s">
        <v>721</v>
      </c>
      <c r="D323" s="61"/>
      <c r="E323" s="45">
        <v>0.125</v>
      </c>
      <c r="F323" s="45">
        <v>0.125</v>
      </c>
      <c r="G323" s="66">
        <v>46082</v>
      </c>
      <c r="H323" s="45" t="str">
        <f>IF(ISNUMBER(E323),F323-E323,"N/A")</f>
        <v>N/A</v>
      </c>
      <c r="I323" s="46" t="str">
        <f>IF(E323&lt;&gt;"",IF(F323=E323,"No Change",IF(F323&gt;E323,"Increase","Decrease")),"New")</f>
        <v>Increase</v>
      </c>
      <c r="J323" s="58"/>
      <c r="K323" s="59" t="str">
        <f>IF(LEN(J323)&gt;0,IF(OR(ISLOGICAL(J323),J323="TRUE"),"Yes",""),"")</f>
      </c>
      <c r="L323" s="59"/>
      <c r="M323" s="59"/>
      <c r="N323" s="62" t="str">
        <f>IF(LEN(M323)&gt;0,IF(OR(ISLOGICAL(M323),M323="TRUE"),"Yes",""),"")</f>
      </c>
      <c r="O323" s="59"/>
      <c r="P323" s="62" t="str">
        <f>IF(LEN(O323)&gt;0,IF(OR(ISLOGICAL(O323),O323="TRUE"),"Yes",""),"")</f>
      </c>
      <c r="Q323" s="62" t="s">
        <v>98</v>
      </c>
      <c r="R323" s="63"/>
    </row>
    <row r="324" spans="1:18" s="47" customFormat="1" ht="51">
      <c r="A324" s="63" t="s">
        <v>722</v>
      </c>
      <c r="B324" s="63" t="s">
        <v>96</v>
      </c>
      <c r="C324" s="63" t="s">
        <v>723</v>
      </c>
      <c r="D324" s="61"/>
      <c r="E324" s="45">
        <v>0.075</v>
      </c>
      <c r="F324" s="45">
        <v>0.075</v>
      </c>
      <c r="G324" s="66">
        <v>46078</v>
      </c>
      <c r="H324" s="45" t="str">
        <f>IF(ISNUMBER(E324),F324-E324,"N/A")</f>
        <v>N/A</v>
      </c>
      <c r="I324" s="46" t="str">
        <f>IF(E324&lt;&gt;"",IF(F324=E324,"No Change",IF(F324&gt;E324,"Increase","Decrease")),"New")</f>
        <v>Increase</v>
      </c>
      <c r="J324" s="58"/>
      <c r="K324" s="59" t="str">
        <f>IF(LEN(J324)&gt;0,IF(OR(ISLOGICAL(J324),J324="TRUE"),"Yes",""),"")</f>
      </c>
      <c r="L324" s="59"/>
      <c r="M324" s="59"/>
      <c r="N324" s="62" t="str">
        <f>IF(LEN(M324)&gt;0,IF(OR(ISLOGICAL(M324),M324="TRUE"),"Yes",""),"")</f>
      </c>
      <c r="O324" s="59"/>
      <c r="P324" s="62" t="str">
        <f>IF(LEN(O324)&gt;0,IF(OR(ISLOGICAL(O324),O324="TRUE"),"Yes",""),"")</f>
      </c>
      <c r="Q324" s="62" t="s">
        <v>98</v>
      </c>
      <c r="R324" s="63"/>
    </row>
    <row r="325" spans="1:18" s="47" customFormat="1" ht="51">
      <c r="A325" s="63" t="s">
        <v>724</v>
      </c>
      <c r="B325" s="63" t="s">
        <v>96</v>
      </c>
      <c r="C325" s="63" t="s">
        <v>725</v>
      </c>
      <c r="D325" s="61"/>
      <c r="E325" s="45">
        <v>0.125</v>
      </c>
      <c r="F325" s="45">
        <v>0.125</v>
      </c>
      <c r="G325" s="66">
        <v>46082</v>
      </c>
      <c r="H325" s="45" t="str">
        <f>IF(ISNUMBER(E325),F325-E325,"N/A")</f>
        <v>N/A</v>
      </c>
      <c r="I325" s="46" t="str">
        <f>IF(E325&lt;&gt;"",IF(F325=E325,"No Change",IF(F325&gt;E325,"Increase","Decrease")),"New")</f>
        <v>Increase</v>
      </c>
      <c r="J325" s="58"/>
      <c r="K325" s="59" t="str">
        <f>IF(LEN(J325)&gt;0,IF(OR(ISLOGICAL(J325),J325="TRUE"),"Yes",""),"")</f>
      </c>
      <c r="L325" s="59"/>
      <c r="M325" s="59"/>
      <c r="N325" s="62" t="str">
        <f>IF(LEN(M325)&gt;0,IF(OR(ISLOGICAL(M325),M325="TRUE"),"Yes",""),"")</f>
      </c>
      <c r="O325" s="59"/>
      <c r="P325" s="62" t="str">
        <f>IF(LEN(O325)&gt;0,IF(OR(ISLOGICAL(O325),O325="TRUE"),"Yes",""),"")</f>
      </c>
      <c r="Q325" s="62" t="s">
        <v>98</v>
      </c>
      <c r="R325" s="63"/>
    </row>
    <row r="326" spans="1:18" s="47" customFormat="1" ht="51">
      <c r="A326" s="63" t="s">
        <v>726</v>
      </c>
      <c r="B326" s="63" t="s">
        <v>96</v>
      </c>
      <c r="C326" s="63" t="s">
        <v>727</v>
      </c>
      <c r="D326" s="61"/>
      <c r="E326" s="45">
        <v>0.125</v>
      </c>
      <c r="F326" s="45">
        <v>0.125</v>
      </c>
      <c r="G326" s="66">
        <v>46082</v>
      </c>
      <c r="H326" s="45" t="str">
        <f>IF(ISNUMBER(E326),F326-E326,"N/A")</f>
        <v>N/A</v>
      </c>
      <c r="I326" s="46" t="str">
        <f>IF(E326&lt;&gt;"",IF(F326=E326,"No Change",IF(F326&gt;E326,"Increase","Decrease")),"New")</f>
        <v>Increase</v>
      </c>
      <c r="J326" s="58"/>
      <c r="K326" s="59" t="str">
        <f>IF(LEN(J326)&gt;0,IF(OR(ISLOGICAL(J326),J326="TRUE"),"Yes",""),"")</f>
      </c>
      <c r="L326" s="59"/>
      <c r="M326" s="59"/>
      <c r="N326" s="62" t="str">
        <f>IF(LEN(M326)&gt;0,IF(OR(ISLOGICAL(M326),M326="TRUE"),"Yes",""),"")</f>
      </c>
      <c r="O326" s="59"/>
      <c r="P326" s="62" t="str">
        <f>IF(LEN(O326)&gt;0,IF(OR(ISLOGICAL(O326),O326="TRUE"),"Yes",""),"")</f>
      </c>
      <c r="Q326" s="62" t="s">
        <v>98</v>
      </c>
      <c r="R326" s="63"/>
    </row>
    <row r="327" spans="1:18" s="47" customFormat="1" ht="51">
      <c r="A327" s="63" t="s">
        <v>728</v>
      </c>
      <c r="B327" s="63" t="s">
        <v>96</v>
      </c>
      <c r="C327" s="63" t="s">
        <v>729</v>
      </c>
      <c r="D327" s="61"/>
      <c r="E327" s="45">
        <v>0.125</v>
      </c>
      <c r="F327" s="45">
        <v>0.125</v>
      </c>
      <c r="G327" s="66">
        <v>46082</v>
      </c>
      <c r="H327" s="45" t="str">
        <f>IF(ISNUMBER(E327),F327-E327,"N/A")</f>
        <v>N/A</v>
      </c>
      <c r="I327" s="46" t="str">
        <f>IF(E327&lt;&gt;"",IF(F327=E327,"No Change",IF(F327&gt;E327,"Increase","Decrease")),"New")</f>
        <v>Increase</v>
      </c>
      <c r="J327" s="58"/>
      <c r="K327" s="59" t="str">
        <f>IF(LEN(J327)&gt;0,IF(OR(ISLOGICAL(J327),J327="TRUE"),"Yes",""),"")</f>
      </c>
      <c r="L327" s="59"/>
      <c r="M327" s="59"/>
      <c r="N327" s="62" t="str">
        <f>IF(LEN(M327)&gt;0,IF(OR(ISLOGICAL(M327),M327="TRUE"),"Yes",""),"")</f>
      </c>
      <c r="O327" s="59"/>
      <c r="P327" s="62" t="str">
        <f>IF(LEN(O327)&gt;0,IF(OR(ISLOGICAL(O327),O327="TRUE"),"Yes",""),"")</f>
      </c>
      <c r="Q327" s="62" t="s">
        <v>98</v>
      </c>
      <c r="R327" s="63"/>
    </row>
    <row r="328" spans="1:18" s="47" customFormat="1" ht="51">
      <c r="A328" s="63" t="s">
        <v>730</v>
      </c>
      <c r="B328" s="63" t="s">
        <v>96</v>
      </c>
      <c r="C328" s="63" t="s">
        <v>731</v>
      </c>
      <c r="D328" s="61"/>
      <c r="E328" s="45">
        <v>0.125</v>
      </c>
      <c r="F328" s="45">
        <v>0.125</v>
      </c>
      <c r="G328" s="66">
        <v>46082</v>
      </c>
      <c r="H328" s="45" t="str">
        <f>IF(ISNUMBER(E328),F328-E328,"N/A")</f>
        <v>N/A</v>
      </c>
      <c r="I328" s="46" t="str">
        <f>IF(E328&lt;&gt;"",IF(F328=E328,"No Change",IF(F328&gt;E328,"Increase","Decrease")),"New")</f>
        <v>Increase</v>
      </c>
      <c r="J328" s="58"/>
      <c r="K328" s="59" t="str">
        <f>IF(LEN(J328)&gt;0,IF(OR(ISLOGICAL(J328),J328="TRUE"),"Yes",""),"")</f>
      </c>
      <c r="L328" s="59"/>
      <c r="M328" s="59"/>
      <c r="N328" s="62" t="str">
        <f>IF(LEN(M328)&gt;0,IF(OR(ISLOGICAL(M328),M328="TRUE"),"Yes",""),"")</f>
      </c>
      <c r="O328" s="59"/>
      <c r="P328" s="62" t="str">
        <f>IF(LEN(O328)&gt;0,IF(OR(ISLOGICAL(O328),O328="TRUE"),"Yes",""),"")</f>
      </c>
      <c r="Q328" s="62" t="s">
        <v>98</v>
      </c>
      <c r="R328" s="63"/>
    </row>
    <row r="329" spans="1:18" s="47" customFormat="1" ht="51">
      <c r="A329" s="63" t="s">
        <v>732</v>
      </c>
      <c r="B329" s="63" t="s">
        <v>96</v>
      </c>
      <c r="C329" s="63" t="s">
        <v>733</v>
      </c>
      <c r="D329" s="61"/>
      <c r="E329" s="45">
        <v>0.125</v>
      </c>
      <c r="F329" s="45">
        <v>0.125</v>
      </c>
      <c r="G329" s="66">
        <v>46082</v>
      </c>
      <c r="H329" s="45" t="str">
        <f>IF(ISNUMBER(E329),F329-E329,"N/A")</f>
        <v>N/A</v>
      </c>
      <c r="I329" s="46" t="str">
        <f>IF(E329&lt;&gt;"",IF(F329=E329,"No Change",IF(F329&gt;E329,"Increase","Decrease")),"New")</f>
        <v>Increase</v>
      </c>
      <c r="J329" s="58"/>
      <c r="K329" s="59" t="str">
        <f>IF(LEN(J329)&gt;0,IF(OR(ISLOGICAL(J329),J329="TRUE"),"Yes",""),"")</f>
      </c>
      <c r="L329" s="59"/>
      <c r="M329" s="59"/>
      <c r="N329" s="62" t="str">
        <f>IF(LEN(M329)&gt;0,IF(OR(ISLOGICAL(M329),M329="TRUE"),"Yes",""),"")</f>
      </c>
      <c r="O329" s="59"/>
      <c r="P329" s="62" t="str">
        <f>IF(LEN(O329)&gt;0,IF(OR(ISLOGICAL(O329),O329="TRUE"),"Yes",""),"")</f>
      </c>
      <c r="Q329" s="62" t="s">
        <v>98</v>
      </c>
      <c r="R329" s="63"/>
    </row>
    <row r="330" spans="1:18" s="47" customFormat="1" ht="51">
      <c r="A330" s="63" t="s">
        <v>734</v>
      </c>
      <c r="B330" s="63" t="s">
        <v>96</v>
      </c>
      <c r="C330" s="63" t="s">
        <v>735</v>
      </c>
      <c r="D330" s="61"/>
      <c r="E330" s="45">
        <v>0.0865</v>
      </c>
      <c r="F330" s="45">
        <v>0.0865</v>
      </c>
      <c r="G330" s="66">
        <v>46078</v>
      </c>
      <c r="H330" s="45" t="str">
        <f>IF(ISNUMBER(E330),F330-E330,"N/A")</f>
        <v>N/A</v>
      </c>
      <c r="I330" s="46" t="str">
        <f>IF(E330&lt;&gt;"",IF(F330=E330,"No Change",IF(F330&gt;E330,"Increase","Decrease")),"New")</f>
        <v>Increase</v>
      </c>
      <c r="J330" s="58" t="s">
        <v>122</v>
      </c>
      <c r="K330" s="59" t="str">
        <f>IF(LEN(J330)&gt;0,IF(OR(ISLOGICAL(J330),J330="TRUE"),"Yes",""),"")</f>
      </c>
      <c r="L330" s="59"/>
      <c r="M330" s="59"/>
      <c r="N330" s="62" t="str">
        <f>IF(LEN(M330)&gt;0,IF(OR(ISLOGICAL(M330),M330="TRUE"),"Yes",""),"")</f>
      </c>
      <c r="O330" s="59"/>
      <c r="P330" s="62" t="str">
        <f>IF(LEN(O330)&gt;0,IF(OR(ISLOGICAL(O330),O330="TRUE"),"Yes",""),"")</f>
      </c>
      <c r="Q330" s="62" t="s">
        <v>98</v>
      </c>
      <c r="R330" s="63"/>
    </row>
    <row r="331" spans="1:18" s="47" customFormat="1" ht="51">
      <c r="A331" s="63" t="s">
        <v>736</v>
      </c>
      <c r="B331" s="63" t="s">
        <v>96</v>
      </c>
      <c r="C331" s="63" t="s">
        <v>737</v>
      </c>
      <c r="D331" s="61"/>
      <c r="E331" s="45">
        <v>0.0865</v>
      </c>
      <c r="F331" s="45">
        <v>0.0865</v>
      </c>
      <c r="G331" s="66">
        <v>46078</v>
      </c>
      <c r="H331" s="45" t="str">
        <f>IF(ISNUMBER(E331),F331-E331,"N/A")</f>
        <v>N/A</v>
      </c>
      <c r="I331" s="46" t="str">
        <f>IF(E331&lt;&gt;"",IF(F331=E331,"No Change",IF(F331&gt;E331,"Increase","Decrease")),"New")</f>
        <v>Increase</v>
      </c>
      <c r="J331" s="58" t="s">
        <v>122</v>
      </c>
      <c r="K331" s="59" t="str">
        <f>IF(LEN(J331)&gt;0,IF(OR(ISLOGICAL(J331),J331="TRUE"),"Yes",""),"")</f>
      </c>
      <c r="L331" s="59"/>
      <c r="M331" s="59"/>
      <c r="N331" s="62" t="str">
        <f>IF(LEN(M331)&gt;0,IF(OR(ISLOGICAL(M331),M331="TRUE"),"Yes",""),"")</f>
      </c>
      <c r="O331" s="59"/>
      <c r="P331" s="62" t="str">
        <f>IF(LEN(O331)&gt;0,IF(OR(ISLOGICAL(O331),O331="TRUE"),"Yes",""),"")</f>
      </c>
      <c r="Q331" s="62" t="s">
        <v>98</v>
      </c>
      <c r="R331" s="63"/>
    </row>
    <row r="332" spans="1:18" s="47" customFormat="1" ht="51">
      <c r="A332" s="63" t="s">
        <v>738</v>
      </c>
      <c r="B332" s="63" t="s">
        <v>96</v>
      </c>
      <c r="C332" s="63" t="s">
        <v>739</v>
      </c>
      <c r="D332" s="61"/>
      <c r="E332" s="45">
        <v>0.0865</v>
      </c>
      <c r="F332" s="45">
        <v>0.0865</v>
      </c>
      <c r="G332" s="66">
        <v>46078</v>
      </c>
      <c r="H332" s="45" t="str">
        <f>IF(ISNUMBER(E332),F332-E332,"N/A")</f>
        <v>N/A</v>
      </c>
      <c r="I332" s="46" t="str">
        <f>IF(E332&lt;&gt;"",IF(F332=E332,"No Change",IF(F332&gt;E332,"Increase","Decrease")),"New")</f>
        <v>Increase</v>
      </c>
      <c r="J332" s="58" t="s">
        <v>122</v>
      </c>
      <c r="K332" s="59" t="str">
        <f>IF(LEN(J332)&gt;0,IF(OR(ISLOGICAL(J332),J332="TRUE"),"Yes",""),"")</f>
      </c>
      <c r="L332" s="59"/>
      <c r="M332" s="59"/>
      <c r="N332" s="62" t="str">
        <f>IF(LEN(M332)&gt;0,IF(OR(ISLOGICAL(M332),M332="TRUE"),"Yes",""),"")</f>
      </c>
      <c r="O332" s="59"/>
      <c r="P332" s="62" t="str">
        <f>IF(LEN(O332)&gt;0,IF(OR(ISLOGICAL(O332),O332="TRUE"),"Yes",""),"")</f>
      </c>
      <c r="Q332" s="62" t="s">
        <v>98</v>
      </c>
      <c r="R332" s="63"/>
    </row>
    <row r="333" spans="1:18" s="47" customFormat="1" ht="51">
      <c r="A333" s="63" t="s">
        <v>740</v>
      </c>
      <c r="B333" s="63" t="s">
        <v>96</v>
      </c>
      <c r="C333" s="63" t="s">
        <v>741</v>
      </c>
      <c r="D333" s="61"/>
      <c r="E333" s="45">
        <v>0.105</v>
      </c>
      <c r="F333" s="45">
        <v>0.105</v>
      </c>
      <c r="G333" s="66">
        <v>46085</v>
      </c>
      <c r="H333" s="45" t="str">
        <f>IF(ISNUMBER(E333),F333-E333,"N/A")</f>
        <v>N/A</v>
      </c>
      <c r="I333" s="46" t="str">
        <f>IF(E333&lt;&gt;"",IF(F333=E333,"No Change",IF(F333&gt;E333,"Increase","Decrease")),"New")</f>
        <v>Increase</v>
      </c>
      <c r="J333" s="58" t="s">
        <v>122</v>
      </c>
      <c r="K333" s="59" t="str">
        <f>IF(LEN(J333)&gt;0,IF(OR(ISLOGICAL(J333),J333="TRUE"),"Yes",""),"")</f>
      </c>
      <c r="L333" s="59"/>
      <c r="M333" s="59"/>
      <c r="N333" s="62" t="str">
        <f>IF(LEN(M333)&gt;0,IF(OR(ISLOGICAL(M333),M333="TRUE"),"Yes",""),"")</f>
      </c>
      <c r="O333" s="59"/>
      <c r="P333" s="62" t="str">
        <f>IF(LEN(O333)&gt;0,IF(OR(ISLOGICAL(O333),O333="TRUE"),"Yes",""),"")</f>
      </c>
      <c r="Q333" s="62" t="s">
        <v>98</v>
      </c>
      <c r="R333" s="63"/>
    </row>
    <row r="334" spans="1:18" s="47" customFormat="1" ht="51">
      <c r="A334" s="63" t="s">
        <v>742</v>
      </c>
      <c r="B334" s="63" t="s">
        <v>96</v>
      </c>
      <c r="C334" s="63" t="s">
        <v>743</v>
      </c>
      <c r="D334" s="61"/>
      <c r="E334" s="45">
        <v>0.475</v>
      </c>
      <c r="F334" s="45">
        <v>0.475</v>
      </c>
      <c r="G334" s="66">
        <v>46078</v>
      </c>
      <c r="H334" s="45" t="str">
        <f>IF(ISNUMBER(E334),F334-E334,"N/A")</f>
        <v>N/A</v>
      </c>
      <c r="I334" s="46" t="str">
        <f>IF(E334&lt;&gt;"",IF(F334=E334,"No Change",IF(F334&gt;E334,"Increase","Decrease")),"New")</f>
        <v>Increase</v>
      </c>
      <c r="J334" s="58"/>
      <c r="K334" s="59" t="str">
        <f>IF(LEN(J334)&gt;0,IF(OR(ISLOGICAL(J334),J334="TRUE"),"Yes",""),"")</f>
      </c>
      <c r="L334" s="59"/>
      <c r="M334" s="59"/>
      <c r="N334" s="62" t="str">
        <f>IF(LEN(M334)&gt;0,IF(OR(ISLOGICAL(M334),M334="TRUE"),"Yes",""),"")</f>
      </c>
      <c r="O334" s="59"/>
      <c r="P334" s="62" t="str">
        <f>IF(LEN(O334)&gt;0,IF(OR(ISLOGICAL(O334),O334="TRUE"),"Yes",""),"")</f>
      </c>
      <c r="Q334" s="62" t="s">
        <v>98</v>
      </c>
      <c r="R334" s="63"/>
    </row>
    <row r="335" spans="1:18" s="47" customFormat="1" ht="51">
      <c r="A335" s="63" t="s">
        <v>744</v>
      </c>
      <c r="B335" s="63" t="s">
        <v>96</v>
      </c>
      <c r="C335" s="63" t="s">
        <v>745</v>
      </c>
      <c r="D335" s="61"/>
      <c r="E335" s="45">
        <v>0.475</v>
      </c>
      <c r="F335" s="45">
        <v>0.475</v>
      </c>
      <c r="G335" s="66">
        <v>45791</v>
      </c>
      <c r="H335" s="45" t="str">
        <f>IF(ISNUMBER(E335),F335-E335,"N/A")</f>
        <v>N/A</v>
      </c>
      <c r="I335" s="46" t="str">
        <f>IF(E335&lt;&gt;"",IF(F335=E335,"No Change",IF(F335&gt;E335,"Increase","Decrease")),"New")</f>
        <v>Increase</v>
      </c>
      <c r="J335" s="58"/>
      <c r="K335" s="59" t="str">
        <f>IF(LEN(J335)&gt;0,IF(OR(ISLOGICAL(J335),J335="TRUE"),"Yes",""),"")</f>
      </c>
      <c r="L335" s="59"/>
      <c r="M335" s="59"/>
      <c r="N335" s="62" t="str">
        <f>IF(LEN(M335)&gt;0,IF(OR(ISLOGICAL(M335),M335="TRUE"),"Yes",""),"")</f>
      </c>
      <c r="O335" s="59"/>
      <c r="P335" s="62" t="str">
        <f>IF(LEN(O335)&gt;0,IF(OR(ISLOGICAL(O335),O335="TRUE"),"Yes",""),"")</f>
      </c>
      <c r="Q335" s="62" t="s">
        <v>98</v>
      </c>
      <c r="R335" s="63"/>
    </row>
    <row r="336" spans="1:18" s="47" customFormat="1" ht="51">
      <c r="A336" s="63" t="s">
        <v>746</v>
      </c>
      <c r="B336" s="63" t="s">
        <v>96</v>
      </c>
      <c r="C336" s="63" t="s">
        <v>747</v>
      </c>
      <c r="D336" s="61"/>
      <c r="E336" s="45">
        <v>0.475</v>
      </c>
      <c r="F336" s="45">
        <v>0.475</v>
      </c>
      <c r="G336" s="66">
        <v>46078</v>
      </c>
      <c r="H336" s="45" t="str">
        <f>IF(ISNUMBER(E336),F336-E336,"N/A")</f>
        <v>N/A</v>
      </c>
      <c r="I336" s="46" t="str">
        <f>IF(E336&lt;&gt;"",IF(F336=E336,"No Change",IF(F336&gt;E336,"Increase","Decrease")),"New")</f>
        <v>Increase</v>
      </c>
      <c r="J336" s="58"/>
      <c r="K336" s="59" t="str">
        <f>IF(LEN(J336)&gt;0,IF(OR(ISLOGICAL(J336),J336="TRUE"),"Yes",""),"")</f>
      </c>
      <c r="L336" s="59"/>
      <c r="M336" s="59"/>
      <c r="N336" s="62" t="str">
        <f>IF(LEN(M336)&gt;0,IF(OR(ISLOGICAL(M336),M336="TRUE"),"Yes",""),"")</f>
      </c>
      <c r="O336" s="59"/>
      <c r="P336" s="62" t="str">
        <f>IF(LEN(O336)&gt;0,IF(OR(ISLOGICAL(O336),O336="TRUE"),"Yes",""),"")</f>
      </c>
      <c r="Q336" s="62" t="s">
        <v>98</v>
      </c>
      <c r="R336" s="63"/>
    </row>
    <row r="337" spans="1:18" s="47" customFormat="1" ht="51">
      <c r="A337" s="63" t="s">
        <v>748</v>
      </c>
      <c r="B337" s="63" t="s">
        <v>96</v>
      </c>
      <c r="C337" s="63" t="s">
        <v>749</v>
      </c>
      <c r="D337" s="61"/>
      <c r="E337" s="45">
        <v>0.2</v>
      </c>
      <c r="F337" s="45">
        <v>0.2</v>
      </c>
      <c r="G337" s="66">
        <v>46082</v>
      </c>
      <c r="H337" s="45" t="str">
        <f>IF(ISNUMBER(E337),F337-E337,"N/A")</f>
        <v>N/A</v>
      </c>
      <c r="I337" s="46" t="str">
        <f>IF(E337&lt;&gt;"",IF(F337=E337,"No Change",IF(F337&gt;E337,"Increase","Decrease")),"New")</f>
        <v>Increase</v>
      </c>
      <c r="J337" s="58"/>
      <c r="K337" s="59" t="str">
        <f>IF(LEN(J337)&gt;0,IF(OR(ISLOGICAL(J337),J337="TRUE"),"Yes",""),"")</f>
      </c>
      <c r="L337" s="59"/>
      <c r="M337" s="59"/>
      <c r="N337" s="62" t="str">
        <f>IF(LEN(M337)&gt;0,IF(OR(ISLOGICAL(M337),M337="TRUE"),"Yes",""),"")</f>
      </c>
      <c r="O337" s="59"/>
      <c r="P337" s="62" t="str">
        <f>IF(LEN(O337)&gt;0,IF(OR(ISLOGICAL(O337),O337="TRUE"),"Yes",""),"")</f>
      </c>
      <c r="Q337" s="62" t="s">
        <v>98</v>
      </c>
      <c r="R337" s="63"/>
    </row>
    <row r="338" spans="1:18" s="47" customFormat="1" ht="51">
      <c r="A338" s="63" t="s">
        <v>750</v>
      </c>
      <c r="B338" s="63" t="s">
        <v>96</v>
      </c>
      <c r="C338" s="63" t="s">
        <v>751</v>
      </c>
      <c r="D338" s="61"/>
      <c r="E338" s="45">
        <v>0.2</v>
      </c>
      <c r="F338" s="45">
        <v>0.2</v>
      </c>
      <c r="G338" s="66">
        <v>46082</v>
      </c>
      <c r="H338" s="45" t="str">
        <f>IF(ISNUMBER(E338),F338-E338,"N/A")</f>
        <v>N/A</v>
      </c>
      <c r="I338" s="46" t="str">
        <f>IF(E338&lt;&gt;"",IF(F338=E338,"No Change",IF(F338&gt;E338,"Increase","Decrease")),"New")</f>
        <v>Increase</v>
      </c>
      <c r="J338" s="58"/>
      <c r="K338" s="59" t="str">
        <f>IF(LEN(J338)&gt;0,IF(OR(ISLOGICAL(J338),J338="TRUE"),"Yes",""),"")</f>
      </c>
      <c r="L338" s="59"/>
      <c r="M338" s="59"/>
      <c r="N338" s="62" t="str">
        <f>IF(LEN(M338)&gt;0,IF(OR(ISLOGICAL(M338),M338="TRUE"),"Yes",""),"")</f>
      </c>
      <c r="O338" s="59"/>
      <c r="P338" s="62" t="str">
        <f>IF(LEN(O338)&gt;0,IF(OR(ISLOGICAL(O338),O338="TRUE"),"Yes",""),"")</f>
      </c>
      <c r="Q338" s="62" t="s">
        <v>98</v>
      </c>
      <c r="R338" s="63"/>
    </row>
    <row r="339" spans="1:18" s="47" customFormat="1" ht="51">
      <c r="A339" s="63" t="s">
        <v>752</v>
      </c>
      <c r="B339" s="63" t="s">
        <v>96</v>
      </c>
      <c r="C339" s="63" t="s">
        <v>753</v>
      </c>
      <c r="D339" s="61"/>
      <c r="E339" s="45">
        <v>0.0175</v>
      </c>
      <c r="F339" s="45">
        <v>0.0175</v>
      </c>
      <c r="G339" s="66">
        <v>46078</v>
      </c>
      <c r="H339" s="45" t="str">
        <f>IF(ISNUMBER(E339),F339-E339,"N/A")</f>
        <v>N/A</v>
      </c>
      <c r="I339" s="46" t="str">
        <f>IF(E339&lt;&gt;"",IF(F339=E339,"No Change",IF(F339&gt;E339,"Increase","Decrease")),"New")</f>
        <v>Increase</v>
      </c>
      <c r="J339" s="58"/>
      <c r="K339" s="59" t="str">
        <f>IF(LEN(J339)&gt;0,IF(OR(ISLOGICAL(J339),J339="TRUE"),"Yes",""),"")</f>
      </c>
      <c r="L339" s="59"/>
      <c r="M339" s="59"/>
      <c r="N339" s="62" t="str">
        <f>IF(LEN(M339)&gt;0,IF(OR(ISLOGICAL(M339),M339="TRUE"),"Yes",""),"")</f>
      </c>
      <c r="O339" s="59"/>
      <c r="P339" s="62" t="str">
        <f>IF(LEN(O339)&gt;0,IF(OR(ISLOGICAL(O339),O339="TRUE"),"Yes",""),"")</f>
      </c>
      <c r="Q339" s="62" t="s">
        <v>98</v>
      </c>
      <c r="R339" s="63"/>
    </row>
    <row r="340" spans="1:18" s="47" customFormat="1" ht="51">
      <c r="A340" s="63" t="s">
        <v>754</v>
      </c>
      <c r="B340" s="63" t="s">
        <v>96</v>
      </c>
      <c r="C340" s="63" t="s">
        <v>755</v>
      </c>
      <c r="D340" s="61"/>
      <c r="E340" s="45">
        <v>0.31</v>
      </c>
      <c r="F340" s="45">
        <v>0.31</v>
      </c>
      <c r="G340" s="66">
        <v>46082</v>
      </c>
      <c r="H340" s="45" t="str">
        <f>IF(ISNUMBER(E340),F340-E340,"N/A")</f>
        <v>N/A</v>
      </c>
      <c r="I340" s="46" t="str">
        <f>IF(E340&lt;&gt;"",IF(F340=E340,"No Change",IF(F340&gt;E340,"Increase","Decrease")),"New")</f>
        <v>Increase</v>
      </c>
      <c r="J340" s="58"/>
      <c r="K340" s="59" t="str">
        <f>IF(LEN(J340)&gt;0,IF(OR(ISLOGICAL(J340),J340="TRUE"),"Yes",""),"")</f>
      </c>
      <c r="L340" s="59"/>
      <c r="M340" s="59"/>
      <c r="N340" s="62" t="str">
        <f>IF(LEN(M340)&gt;0,IF(OR(ISLOGICAL(M340),M340="TRUE"),"Yes",""),"")</f>
      </c>
      <c r="O340" s="59"/>
      <c r="P340" s="62" t="str">
        <f>IF(LEN(O340)&gt;0,IF(OR(ISLOGICAL(O340),O340="TRUE"),"Yes",""),"")</f>
      </c>
      <c r="Q340" s="62" t="s">
        <v>98</v>
      </c>
      <c r="R340" s="63"/>
    </row>
    <row r="341" spans="1:18" s="47" customFormat="1" ht="51">
      <c r="A341" s="63" t="s">
        <v>756</v>
      </c>
      <c r="B341" s="63" t="s">
        <v>96</v>
      </c>
      <c r="C341" s="63" t="s">
        <v>757</v>
      </c>
      <c r="D341" s="61"/>
      <c r="E341" s="45">
        <v>0.31</v>
      </c>
      <c r="F341" s="45">
        <v>0.31</v>
      </c>
      <c r="G341" s="66">
        <v>46082</v>
      </c>
      <c r="H341" s="45" t="str">
        <f>IF(ISNUMBER(E341),F341-E341,"N/A")</f>
        <v>N/A</v>
      </c>
      <c r="I341" s="46" t="str">
        <f>IF(E341&lt;&gt;"",IF(F341=E341,"No Change",IF(F341&gt;E341,"Increase","Decrease")),"New")</f>
        <v>Increase</v>
      </c>
      <c r="J341" s="58"/>
      <c r="K341" s="59" t="str">
        <f>IF(LEN(J341)&gt;0,IF(OR(ISLOGICAL(J341),J341="TRUE"),"Yes",""),"")</f>
      </c>
      <c r="L341" s="59"/>
      <c r="M341" s="59"/>
      <c r="N341" s="62" t="str">
        <f>IF(LEN(M341)&gt;0,IF(OR(ISLOGICAL(M341),M341="TRUE"),"Yes",""),"")</f>
      </c>
      <c r="O341" s="59"/>
      <c r="P341" s="62" t="str">
        <f>IF(LEN(O341)&gt;0,IF(OR(ISLOGICAL(O341),O341="TRUE"),"Yes",""),"")</f>
      </c>
      <c r="Q341" s="62" t="s">
        <v>98</v>
      </c>
      <c r="R341" s="63"/>
    </row>
    <row r="342" spans="1:18" s="47" customFormat="1" ht="51">
      <c r="A342" s="63" t="s">
        <v>758</v>
      </c>
      <c r="B342" s="63" t="s">
        <v>96</v>
      </c>
      <c r="C342" s="63" t="s">
        <v>759</v>
      </c>
      <c r="D342" s="61"/>
      <c r="E342" s="45">
        <v>0.31</v>
      </c>
      <c r="F342" s="45">
        <v>0.31</v>
      </c>
      <c r="G342" s="66">
        <v>46082</v>
      </c>
      <c r="H342" s="45" t="str">
        <f>IF(ISNUMBER(E342),F342-E342,"N/A")</f>
        <v>N/A</v>
      </c>
      <c r="I342" s="46" t="str">
        <f>IF(E342&lt;&gt;"",IF(F342=E342,"No Change",IF(F342&gt;E342,"Increase","Decrease")),"New")</f>
        <v>Increase</v>
      </c>
      <c r="J342" s="58"/>
      <c r="K342" s="59" t="str">
        <f>IF(LEN(J342)&gt;0,IF(OR(ISLOGICAL(J342),J342="TRUE"),"Yes",""),"")</f>
      </c>
      <c r="L342" s="59"/>
      <c r="M342" s="59"/>
      <c r="N342" s="62" t="str">
        <f>IF(LEN(M342)&gt;0,IF(OR(ISLOGICAL(M342),M342="TRUE"),"Yes",""),"")</f>
      </c>
      <c r="O342" s="59"/>
      <c r="P342" s="62" t="str">
        <f>IF(LEN(O342)&gt;0,IF(OR(ISLOGICAL(O342),O342="TRUE"),"Yes",""),"")</f>
      </c>
      <c r="Q342" s="62" t="s">
        <v>98</v>
      </c>
      <c r="R342" s="63"/>
    </row>
    <row r="343" spans="1:18" s="47" customFormat="1" ht="51">
      <c r="A343" s="63" t="s">
        <v>760</v>
      </c>
      <c r="B343" s="63" t="s">
        <v>96</v>
      </c>
      <c r="C343" s="63" t="s">
        <v>761</v>
      </c>
      <c r="D343" s="61"/>
      <c r="E343" s="45">
        <v>0.31</v>
      </c>
      <c r="F343" s="45">
        <v>0.31</v>
      </c>
      <c r="G343" s="66">
        <v>46082</v>
      </c>
      <c r="H343" s="45" t="str">
        <f>IF(ISNUMBER(E343),F343-E343,"N/A")</f>
        <v>N/A</v>
      </c>
      <c r="I343" s="46" t="str">
        <f>IF(E343&lt;&gt;"",IF(F343=E343,"No Change",IF(F343&gt;E343,"Increase","Decrease")),"New")</f>
        <v>Increase</v>
      </c>
      <c r="J343" s="58"/>
      <c r="K343" s="59" t="str">
        <f>IF(LEN(J343)&gt;0,IF(OR(ISLOGICAL(J343),J343="TRUE"),"Yes",""),"")</f>
      </c>
      <c r="L343" s="59"/>
      <c r="M343" s="59"/>
      <c r="N343" s="62" t="str">
        <f>IF(LEN(M343)&gt;0,IF(OR(ISLOGICAL(M343),M343="TRUE"),"Yes",""),"")</f>
      </c>
      <c r="O343" s="59"/>
      <c r="P343" s="62" t="str">
        <f>IF(LEN(O343)&gt;0,IF(OR(ISLOGICAL(O343),O343="TRUE"),"Yes",""),"")</f>
      </c>
      <c r="Q343" s="62" t="s">
        <v>98</v>
      </c>
      <c r="R343" s="63"/>
    </row>
    <row r="344" spans="1:18" s="47" customFormat="1" ht="51">
      <c r="A344" s="63" t="s">
        <v>762</v>
      </c>
      <c r="B344" s="63" t="s">
        <v>96</v>
      </c>
      <c r="C344" s="63" t="s">
        <v>763</v>
      </c>
      <c r="D344" s="61"/>
      <c r="E344" s="45">
        <v>0.31</v>
      </c>
      <c r="F344" s="45">
        <v>0.31</v>
      </c>
      <c r="G344" s="66">
        <v>46082</v>
      </c>
      <c r="H344" s="45" t="str">
        <f>IF(ISNUMBER(E344),F344-E344,"N/A")</f>
        <v>N/A</v>
      </c>
      <c r="I344" s="46" t="str">
        <f>IF(E344&lt;&gt;"",IF(F344=E344,"No Change",IF(F344&gt;E344,"Increase","Decrease")),"New")</f>
        <v>Increase</v>
      </c>
      <c r="J344" s="58"/>
      <c r="K344" s="59" t="str">
        <f>IF(LEN(J344)&gt;0,IF(OR(ISLOGICAL(J344),J344="TRUE"),"Yes",""),"")</f>
      </c>
      <c r="L344" s="59"/>
      <c r="M344" s="59"/>
      <c r="N344" s="62" t="str">
        <f>IF(LEN(M344)&gt;0,IF(OR(ISLOGICAL(M344),M344="TRUE"),"Yes",""),"")</f>
      </c>
      <c r="O344" s="59"/>
      <c r="P344" s="62" t="str">
        <f>IF(LEN(O344)&gt;0,IF(OR(ISLOGICAL(O344),O344="TRUE"),"Yes",""),"")</f>
      </c>
      <c r="Q344" s="62" t="s">
        <v>98</v>
      </c>
      <c r="R344" s="63"/>
    </row>
    <row r="345" spans="1:18" s="47" customFormat="1" ht="51">
      <c r="A345" s="63" t="s">
        <v>764</v>
      </c>
      <c r="B345" s="63" t="s">
        <v>96</v>
      </c>
      <c r="C345" s="63" t="s">
        <v>765</v>
      </c>
      <c r="D345" s="61"/>
      <c r="E345" s="45">
        <v>0.31</v>
      </c>
      <c r="F345" s="45">
        <v>0.31</v>
      </c>
      <c r="G345" s="66">
        <v>46082</v>
      </c>
      <c r="H345" s="45" t="str">
        <f>IF(ISNUMBER(E345),F345-E345,"N/A")</f>
        <v>N/A</v>
      </c>
      <c r="I345" s="46" t="str">
        <f>IF(E345&lt;&gt;"",IF(F345=E345,"No Change",IF(F345&gt;E345,"Increase","Decrease")),"New")</f>
        <v>Increase</v>
      </c>
      <c r="J345" s="58"/>
      <c r="K345" s="59" t="str">
        <f>IF(LEN(J345)&gt;0,IF(OR(ISLOGICAL(J345),J345="TRUE"),"Yes",""),"")</f>
      </c>
      <c r="L345" s="59"/>
      <c r="M345" s="59"/>
      <c r="N345" s="62" t="str">
        <f>IF(LEN(M345)&gt;0,IF(OR(ISLOGICAL(M345),M345="TRUE"),"Yes",""),"")</f>
      </c>
      <c r="O345" s="59"/>
      <c r="P345" s="62" t="str">
        <f>IF(LEN(O345)&gt;0,IF(OR(ISLOGICAL(O345),O345="TRUE"),"Yes",""),"")</f>
      </c>
      <c r="Q345" s="62" t="s">
        <v>98</v>
      </c>
      <c r="R345" s="63"/>
    </row>
    <row r="346" spans="1:18" s="47" customFormat="1" ht="51">
      <c r="A346" s="63" t="s">
        <v>766</v>
      </c>
      <c r="B346" s="63" t="s">
        <v>96</v>
      </c>
      <c r="C346" s="63" t="s">
        <v>767</v>
      </c>
      <c r="D346" s="61"/>
      <c r="E346" s="45">
        <v>0.31</v>
      </c>
      <c r="F346" s="45">
        <v>0.31</v>
      </c>
      <c r="G346" s="66">
        <v>46085</v>
      </c>
      <c r="H346" s="45" t="str">
        <f>IF(ISNUMBER(E346),F346-E346,"N/A")</f>
        <v>N/A</v>
      </c>
      <c r="I346" s="46" t="str">
        <f>IF(E346&lt;&gt;"",IF(F346=E346,"No Change",IF(F346&gt;E346,"Increase","Decrease")),"New")</f>
        <v>Increase</v>
      </c>
      <c r="J346" s="58"/>
      <c r="K346" s="59" t="str">
        <f>IF(LEN(J346)&gt;0,IF(OR(ISLOGICAL(J346),J346="TRUE"),"Yes",""),"")</f>
      </c>
      <c r="L346" s="59"/>
      <c r="M346" s="59"/>
      <c r="N346" s="62" t="str">
        <f>IF(LEN(M346)&gt;0,IF(OR(ISLOGICAL(M346),M346="TRUE"),"Yes",""),"")</f>
      </c>
      <c r="O346" s="59"/>
      <c r="P346" s="62" t="str">
        <f>IF(LEN(O346)&gt;0,IF(OR(ISLOGICAL(O346),O346="TRUE"),"Yes",""),"")</f>
      </c>
      <c r="Q346" s="62" t="s">
        <v>98</v>
      </c>
      <c r="R346" s="63"/>
    </row>
    <row r="347" spans="1:18" s="47" customFormat="1" ht="51">
      <c r="A347" s="63" t="s">
        <v>768</v>
      </c>
      <c r="B347" s="63" t="s">
        <v>96</v>
      </c>
      <c r="C347" s="63" t="s">
        <v>769</v>
      </c>
      <c r="D347" s="61"/>
      <c r="E347" s="45">
        <v>0.1845</v>
      </c>
      <c r="F347" s="45">
        <v>0.1845</v>
      </c>
      <c r="G347" s="66">
        <v>46127</v>
      </c>
      <c r="H347" s="45" t="str">
        <f>IF(ISNUMBER(E347),F347-E347,"N/A")</f>
        <v>N/A</v>
      </c>
      <c r="I347" s="46" t="str">
        <f>IF(E347&lt;&gt;"",IF(F347=E347,"No Change",IF(F347&gt;E347,"Increase","Decrease")),"New")</f>
        <v>Increase</v>
      </c>
      <c r="J347" s="58"/>
      <c r="K347" s="59" t="str">
        <f>IF(LEN(J347)&gt;0,IF(OR(ISLOGICAL(J347),J347="TRUE"),"Yes",""),"")</f>
      </c>
      <c r="L347" s="59"/>
      <c r="M347" s="59"/>
      <c r="N347" s="62" t="str">
        <f>IF(LEN(M347)&gt;0,IF(OR(ISLOGICAL(M347),M347="TRUE"),"Yes",""),"")</f>
      </c>
      <c r="O347" s="59"/>
      <c r="P347" s="62" t="str">
        <f>IF(LEN(O347)&gt;0,IF(OR(ISLOGICAL(O347),O347="TRUE"),"Yes",""),"")</f>
      </c>
      <c r="Q347" s="62" t="s">
        <v>104</v>
      </c>
      <c r="R347" s="63"/>
    </row>
    <row r="348" spans="1:18" s="47" customFormat="1" ht="51">
      <c r="A348" s="63" t="s">
        <v>770</v>
      </c>
      <c r="B348" s="63" t="s">
        <v>96</v>
      </c>
      <c r="C348" s="63" t="s">
        <v>771</v>
      </c>
      <c r="D348" s="61"/>
      <c r="E348" s="45">
        <v>0.1845</v>
      </c>
      <c r="F348" s="45">
        <v>0.1845</v>
      </c>
      <c r="G348" s="66">
        <v>46127</v>
      </c>
      <c r="H348" s="45" t="str">
        <f>IF(ISNUMBER(E348),F348-E348,"N/A")</f>
        <v>N/A</v>
      </c>
      <c r="I348" s="46" t="str">
        <f>IF(E348&lt;&gt;"",IF(F348=E348,"No Change",IF(F348&gt;E348,"Increase","Decrease")),"New")</f>
        <v>Increase</v>
      </c>
      <c r="J348" s="58"/>
      <c r="K348" s="59" t="str">
        <f>IF(LEN(J348)&gt;0,IF(OR(ISLOGICAL(J348),J348="TRUE"),"Yes",""),"")</f>
      </c>
      <c r="L348" s="59"/>
      <c r="M348" s="59"/>
      <c r="N348" s="62" t="str">
        <f>IF(LEN(M348)&gt;0,IF(OR(ISLOGICAL(M348),M348="TRUE"),"Yes",""),"")</f>
      </c>
      <c r="O348" s="59"/>
      <c r="P348" s="62" t="str">
        <f>IF(LEN(O348)&gt;0,IF(OR(ISLOGICAL(O348),O348="TRUE"),"Yes",""),"")</f>
      </c>
      <c r="Q348" s="62" t="s">
        <v>104</v>
      </c>
      <c r="R348" s="63"/>
    </row>
    <row r="349" spans="1:18" s="47" customFormat="1" ht="51">
      <c r="A349" s="63" t="s">
        <v>772</v>
      </c>
      <c r="B349" s="63" t="s">
        <v>96</v>
      </c>
      <c r="C349" s="63" t="s">
        <v>773</v>
      </c>
      <c r="D349" s="61"/>
      <c r="E349" s="45">
        <v>0.1845</v>
      </c>
      <c r="F349" s="45">
        <v>0.1845</v>
      </c>
      <c r="G349" s="66">
        <v>46127</v>
      </c>
      <c r="H349" s="45" t="str">
        <f>IF(ISNUMBER(E349),F349-E349,"N/A")</f>
        <v>N/A</v>
      </c>
      <c r="I349" s="46" t="str">
        <f>IF(E349&lt;&gt;"",IF(F349=E349,"No Change",IF(F349&gt;E349,"Increase","Decrease")),"New")</f>
        <v>Increase</v>
      </c>
      <c r="J349" s="58" t="s">
        <v>122</v>
      </c>
      <c r="K349" s="59" t="str">
        <f>IF(LEN(J349)&gt;0,IF(OR(ISLOGICAL(J349),J349="TRUE"),"Yes",""),"")</f>
      </c>
      <c r="L349" s="59"/>
      <c r="M349" s="59"/>
      <c r="N349" s="62" t="str">
        <f>IF(LEN(M349)&gt;0,IF(OR(ISLOGICAL(M349),M349="TRUE"),"Yes",""),"")</f>
      </c>
      <c r="O349" s="59"/>
      <c r="P349" s="62" t="str">
        <f>IF(LEN(O349)&gt;0,IF(OR(ISLOGICAL(O349),O349="TRUE"),"Yes",""),"")</f>
      </c>
      <c r="Q349" s="62" t="s">
        <v>104</v>
      </c>
      <c r="R349" s="63"/>
    </row>
    <row r="350" spans="1:18" s="47" customFormat="1" ht="51">
      <c r="A350" s="63" t="s">
        <v>774</v>
      </c>
      <c r="B350" s="63" t="s">
        <v>96</v>
      </c>
      <c r="C350" s="63" t="s">
        <v>775</v>
      </c>
      <c r="D350" s="61"/>
      <c r="E350" s="45">
        <v>0.1845</v>
      </c>
      <c r="F350" s="45">
        <v>0.1845</v>
      </c>
      <c r="G350" s="66">
        <v>46127</v>
      </c>
      <c r="H350" s="45" t="str">
        <f>IF(ISNUMBER(E350),F350-E350,"N/A")</f>
        <v>N/A</v>
      </c>
      <c r="I350" s="46" t="str">
        <f>IF(E350&lt;&gt;"",IF(F350=E350,"No Change",IF(F350&gt;E350,"Increase","Decrease")),"New")</f>
        <v>Increase</v>
      </c>
      <c r="J350" s="58" t="s">
        <v>103</v>
      </c>
      <c r="K350" s="59" t="str">
        <f>IF(LEN(J350)&gt;0,IF(OR(ISLOGICAL(J350),J350="TRUE"),"Yes",""),"")</f>
      </c>
      <c r="L350" s="59"/>
      <c r="M350" s="59"/>
      <c r="N350" s="62" t="str">
        <f>IF(LEN(M350)&gt;0,IF(OR(ISLOGICAL(M350),M350="TRUE"),"Yes",""),"")</f>
      </c>
      <c r="O350" s="59"/>
      <c r="P350" s="62" t="str">
        <f>IF(LEN(O350)&gt;0,IF(OR(ISLOGICAL(O350),O350="TRUE"),"Yes",""),"")</f>
      </c>
      <c r="Q350" s="62" t="s">
        <v>104</v>
      </c>
      <c r="R350" s="63"/>
    </row>
    <row r="351" spans="1:18" s="47" customFormat="1" ht="51">
      <c r="A351" s="63" t="s">
        <v>776</v>
      </c>
      <c r="B351" s="63" t="s">
        <v>96</v>
      </c>
      <c r="C351" s="63" t="s">
        <v>777</v>
      </c>
      <c r="D351" s="61"/>
      <c r="E351" s="45">
        <v>1.1811</v>
      </c>
      <c r="F351" s="45">
        <v>1.1811</v>
      </c>
      <c r="G351" s="66">
        <v>45847</v>
      </c>
      <c r="H351" s="45" t="str">
        <f>IF(ISNUMBER(E351),F351-E351,"N/A")</f>
        <v>N/A</v>
      </c>
      <c r="I351" s="46" t="str">
        <f>IF(E351&lt;&gt;"",IF(F351=E351,"No Change",IF(F351&gt;E351,"Increase","Decrease")),"New")</f>
        <v>Increase</v>
      </c>
      <c r="J351" s="58"/>
      <c r="K351" s="59" t="str">
        <f>IF(LEN(J351)&gt;0,IF(OR(ISLOGICAL(J351),J351="TRUE"),"Yes",""),"")</f>
      </c>
      <c r="L351" s="59"/>
      <c r="M351" s="59"/>
      <c r="N351" s="62" t="str">
        <f>IF(LEN(M351)&gt;0,IF(OR(ISLOGICAL(M351),M351="TRUE"),"Yes",""),"")</f>
      </c>
      <c r="O351" s="59"/>
      <c r="P351" s="62" t="str">
        <f>IF(LEN(O351)&gt;0,IF(OR(ISLOGICAL(O351),O351="TRUE"),"Yes",""),"")</f>
      </c>
      <c r="Q351" s="62" t="s">
        <v>98</v>
      </c>
      <c r="R351" s="63"/>
    </row>
    <row r="352" spans="1:18" s="47" customFormat="1" ht="51">
      <c r="A352" s="63" t="s">
        <v>778</v>
      </c>
      <c r="B352" s="63" t="s">
        <v>96</v>
      </c>
      <c r="C352" s="63" t="s">
        <v>779</v>
      </c>
      <c r="D352" s="61"/>
      <c r="E352" s="45">
        <v>0.029</v>
      </c>
      <c r="F352" s="45">
        <v>0.029</v>
      </c>
      <c r="G352" s="66">
        <v>46078</v>
      </c>
      <c r="H352" s="45" t="str">
        <f>IF(ISNUMBER(E352),F352-E352,"N/A")</f>
        <v>N/A</v>
      </c>
      <c r="I352" s="46" t="str">
        <f>IF(E352&lt;&gt;"",IF(F352=E352,"No Change",IF(F352&gt;E352,"Increase","Decrease")),"New")</f>
        <v>Increase</v>
      </c>
      <c r="J352" s="58"/>
      <c r="K352" s="59" t="str">
        <f>IF(LEN(J352)&gt;0,IF(OR(ISLOGICAL(J352),J352="TRUE"),"Yes",""),"")</f>
      </c>
      <c r="L352" s="59"/>
      <c r="M352" s="59"/>
      <c r="N352" s="62" t="str">
        <f>IF(LEN(M352)&gt;0,IF(OR(ISLOGICAL(M352),M352="TRUE"),"Yes",""),"")</f>
      </c>
      <c r="O352" s="59"/>
      <c r="P352" s="62" t="str">
        <f>IF(LEN(O352)&gt;0,IF(OR(ISLOGICAL(O352),O352="TRUE"),"Yes",""),"")</f>
      </c>
      <c r="Q352" s="62" t="s">
        <v>98</v>
      </c>
      <c r="R352" s="63"/>
    </row>
    <row r="353" spans="1:18" s="47" customFormat="1" ht="51">
      <c r="A353" s="63" t="s">
        <v>780</v>
      </c>
      <c r="B353" s="63" t="s">
        <v>96</v>
      </c>
      <c r="C353" s="63" t="s">
        <v>781</v>
      </c>
      <c r="D353" s="61"/>
      <c r="E353" s="45">
        <v>0.029</v>
      </c>
      <c r="F353" s="45">
        <v>0.029</v>
      </c>
      <c r="G353" s="66">
        <v>46078</v>
      </c>
      <c r="H353" s="45" t="str">
        <f>IF(ISNUMBER(E353),F353-E353,"N/A")</f>
        <v>N/A</v>
      </c>
      <c r="I353" s="46" t="str">
        <f>IF(E353&lt;&gt;"",IF(F353=E353,"No Change",IF(F353&gt;E353,"Increase","Decrease")),"New")</f>
        <v>Increase</v>
      </c>
      <c r="J353" s="58"/>
      <c r="K353" s="59" t="str">
        <f>IF(LEN(J353)&gt;0,IF(OR(ISLOGICAL(J353),J353="TRUE"),"Yes",""),"")</f>
      </c>
      <c r="L353" s="59"/>
      <c r="M353" s="59"/>
      <c r="N353" s="62" t="str">
        <f>IF(LEN(M353)&gt;0,IF(OR(ISLOGICAL(M353),M353="TRUE"),"Yes",""),"")</f>
      </c>
      <c r="O353" s="59"/>
      <c r="P353" s="62" t="str">
        <f>IF(LEN(O353)&gt;0,IF(OR(ISLOGICAL(O353),O353="TRUE"),"Yes",""),"")</f>
      </c>
      <c r="Q353" s="62" t="s">
        <v>98</v>
      </c>
      <c r="R353" s="63"/>
    </row>
    <row r="354" spans="1:18" s="47" customFormat="1" ht="51">
      <c r="A354" s="63" t="s">
        <v>782</v>
      </c>
      <c r="B354" s="63" t="s">
        <v>96</v>
      </c>
      <c r="C354" s="63" t="s">
        <v>783</v>
      </c>
      <c r="D354" s="61"/>
      <c r="E354" s="45">
        <v>0.219</v>
      </c>
      <c r="F354" s="45">
        <v>0.219</v>
      </c>
      <c r="G354" s="66">
        <v>45505</v>
      </c>
      <c r="H354" s="45" t="str">
        <f>IF(ISNUMBER(E354),F354-E354,"N/A")</f>
        <v>N/A</v>
      </c>
      <c r="I354" s="46" t="str">
        <f>IF(E354&lt;&gt;"",IF(F354=E354,"No Change",IF(F354&gt;E354,"Increase","Decrease")),"New")</f>
        <v>Increase</v>
      </c>
      <c r="J354" s="58"/>
      <c r="K354" s="59" t="str">
        <f>IF(LEN(J354)&gt;0,IF(OR(ISLOGICAL(J354),J354="TRUE"),"Yes",""),"")</f>
      </c>
      <c r="L354" s="59"/>
      <c r="M354" s="59"/>
      <c r="N354" s="62" t="str">
        <f>IF(LEN(M354)&gt;0,IF(OR(ISLOGICAL(M354),M354="TRUE"),"Yes",""),"")</f>
      </c>
      <c r="O354" s="59"/>
      <c r="P354" s="62" t="str">
        <f>IF(LEN(O354)&gt;0,IF(OR(ISLOGICAL(O354),O354="TRUE"),"Yes",""),"")</f>
      </c>
      <c r="Q354" s="62" t="s">
        <v>109</v>
      </c>
      <c r="R354" s="63"/>
    </row>
    <row r="355" spans="1:18" s="47" customFormat="1" ht="51">
      <c r="A355" s="63" t="s">
        <v>784</v>
      </c>
      <c r="B355" s="63" t="s">
        <v>96</v>
      </c>
      <c r="C355" s="63" t="s">
        <v>785</v>
      </c>
      <c r="D355" s="61"/>
      <c r="E355" s="45">
        <v>0.219</v>
      </c>
      <c r="F355" s="45">
        <v>0.219</v>
      </c>
      <c r="G355" s="66">
        <v>44044</v>
      </c>
      <c r="H355" s="45" t="str">
        <f>IF(ISNUMBER(E355),F355-E355,"N/A")</f>
        <v>N/A</v>
      </c>
      <c r="I355" s="46" t="str">
        <f>IF(E355&lt;&gt;"",IF(F355=E355,"No Change",IF(F355&gt;E355,"Increase","Decrease")),"New")</f>
        <v>Increase</v>
      </c>
      <c r="J355" s="58" t="s">
        <v>122</v>
      </c>
      <c r="K355" s="59" t="str">
        <f>IF(LEN(J355)&gt;0,IF(OR(ISLOGICAL(J355),J355="TRUE"),"Yes",""),"")</f>
      </c>
      <c r="L355" s="59"/>
      <c r="M355" s="59"/>
      <c r="N355" s="62" t="str">
        <f>IF(LEN(M355)&gt;0,IF(OR(ISLOGICAL(M355),M355="TRUE"),"Yes",""),"")</f>
      </c>
      <c r="O355" s="59"/>
      <c r="P355" s="62" t="str">
        <f>IF(LEN(O355)&gt;0,IF(OR(ISLOGICAL(O355),O355="TRUE"),"Yes",""),"")</f>
      </c>
      <c r="Q355" s="62" t="s">
        <v>109</v>
      </c>
      <c r="R355" s="63"/>
    </row>
    <row r="356" spans="1:18" s="47" customFormat="1" ht="51">
      <c r="A356" s="63" t="s">
        <v>786</v>
      </c>
      <c r="B356" s="63" t="s">
        <v>96</v>
      </c>
      <c r="C356" s="63" t="s">
        <v>787</v>
      </c>
      <c r="D356" s="61"/>
      <c r="E356" s="45">
        <v>0.219</v>
      </c>
      <c r="F356" s="45">
        <v>0.219</v>
      </c>
      <c r="G356" s="66">
        <v>45505</v>
      </c>
      <c r="H356" s="45" t="str">
        <f>IF(ISNUMBER(E356),F356-E356,"N/A")</f>
        <v>N/A</v>
      </c>
      <c r="I356" s="46" t="str">
        <f>IF(E356&lt;&gt;"",IF(F356=E356,"No Change",IF(F356&gt;E356,"Increase","Decrease")),"New")</f>
        <v>Increase</v>
      </c>
      <c r="J356" s="58" t="s">
        <v>122</v>
      </c>
      <c r="K356" s="59" t="str">
        <f>IF(LEN(J356)&gt;0,IF(OR(ISLOGICAL(J356),J356="TRUE"),"Yes",""),"")</f>
      </c>
      <c r="L356" s="59"/>
      <c r="M356" s="59"/>
      <c r="N356" s="62" t="str">
        <f>IF(LEN(M356)&gt;0,IF(OR(ISLOGICAL(M356),M356="TRUE"),"Yes",""),"")</f>
      </c>
      <c r="O356" s="59"/>
      <c r="P356" s="62" t="str">
        <f>IF(LEN(O356)&gt;0,IF(OR(ISLOGICAL(O356),O356="TRUE"),"Yes",""),"")</f>
      </c>
      <c r="Q356" s="62" t="s">
        <v>109</v>
      </c>
      <c r="R356" s="63"/>
    </row>
    <row r="357" spans="1:18" s="47" customFormat="1" ht="51">
      <c r="A357" s="63" t="s">
        <v>788</v>
      </c>
      <c r="B357" s="63" t="s">
        <v>96</v>
      </c>
      <c r="C357" s="63" t="s">
        <v>789</v>
      </c>
      <c r="D357" s="61"/>
      <c r="E357" s="45">
        <v>0.305</v>
      </c>
      <c r="F357" s="45">
        <v>0.305</v>
      </c>
      <c r="G357" s="66">
        <v>46082</v>
      </c>
      <c r="H357" s="45" t="str">
        <f>IF(ISNUMBER(E357),F357-E357,"N/A")</f>
        <v>N/A</v>
      </c>
      <c r="I357" s="46" t="str">
        <f>IF(E357&lt;&gt;"",IF(F357=E357,"No Change",IF(F357&gt;E357,"Increase","Decrease")),"New")</f>
        <v>Increase</v>
      </c>
      <c r="J357" s="58"/>
      <c r="K357" s="59" t="str">
        <f>IF(LEN(J357)&gt;0,IF(OR(ISLOGICAL(J357),J357="TRUE"),"Yes",""),"")</f>
      </c>
      <c r="L357" s="59"/>
      <c r="M357" s="59"/>
      <c r="N357" s="62" t="str">
        <f>IF(LEN(M357)&gt;0,IF(OR(ISLOGICAL(M357),M357="TRUE"),"Yes",""),"")</f>
      </c>
      <c r="O357" s="59"/>
      <c r="P357" s="62" t="str">
        <f>IF(LEN(O357)&gt;0,IF(OR(ISLOGICAL(O357),O357="TRUE"),"Yes",""),"")</f>
      </c>
      <c r="Q357" s="62" t="s">
        <v>98</v>
      </c>
      <c r="R357" s="63"/>
    </row>
    <row r="358" spans="1:18" s="47" customFormat="1" ht="51">
      <c r="A358" s="63" t="s">
        <v>790</v>
      </c>
      <c r="B358" s="63" t="s">
        <v>96</v>
      </c>
      <c r="C358" s="63" t="s">
        <v>791</v>
      </c>
      <c r="D358" s="61"/>
      <c r="E358" s="45">
        <v>0.305</v>
      </c>
      <c r="F358" s="45">
        <v>0.305</v>
      </c>
      <c r="G358" s="66">
        <v>46082</v>
      </c>
      <c r="H358" s="45" t="str">
        <f>IF(ISNUMBER(E358),F358-E358,"N/A")</f>
        <v>N/A</v>
      </c>
      <c r="I358" s="46" t="str">
        <f>IF(E358&lt;&gt;"",IF(F358=E358,"No Change",IF(F358&gt;E358,"Increase","Decrease")),"New")</f>
        <v>Increase</v>
      </c>
      <c r="J358" s="58"/>
      <c r="K358" s="59" t="str">
        <f>IF(LEN(J358)&gt;0,IF(OR(ISLOGICAL(J358),J358="TRUE"),"Yes",""),"")</f>
      </c>
      <c r="L358" s="59"/>
      <c r="M358" s="59"/>
      <c r="N358" s="62" t="str">
        <f>IF(LEN(M358)&gt;0,IF(OR(ISLOGICAL(M358),M358="TRUE"),"Yes",""),"")</f>
      </c>
      <c r="O358" s="59"/>
      <c r="P358" s="62" t="str">
        <f>IF(LEN(O358)&gt;0,IF(OR(ISLOGICAL(O358),O358="TRUE"),"Yes",""),"")</f>
      </c>
      <c r="Q358" s="62" t="s">
        <v>98</v>
      </c>
      <c r="R358" s="63"/>
    </row>
    <row r="359" spans="1:18" s="47" customFormat="1" ht="51">
      <c r="A359" s="63" t="s">
        <v>792</v>
      </c>
      <c r="B359" s="63" t="s">
        <v>96</v>
      </c>
      <c r="C359" s="63" t="s">
        <v>793</v>
      </c>
      <c r="D359" s="61"/>
      <c r="E359" s="45">
        <v>0.305</v>
      </c>
      <c r="F359" s="45">
        <v>0.305</v>
      </c>
      <c r="G359" s="66">
        <v>46082</v>
      </c>
      <c r="H359" s="45" t="str">
        <f>IF(ISNUMBER(E359),F359-E359,"N/A")</f>
        <v>N/A</v>
      </c>
      <c r="I359" s="46" t="str">
        <f>IF(E359&lt;&gt;"",IF(F359=E359,"No Change",IF(F359&gt;E359,"Increase","Decrease")),"New")</f>
        <v>Increase</v>
      </c>
      <c r="J359" s="58"/>
      <c r="K359" s="59" t="str">
        <f>IF(LEN(J359)&gt;0,IF(OR(ISLOGICAL(J359),J359="TRUE"),"Yes",""),"")</f>
      </c>
      <c r="L359" s="59"/>
      <c r="M359" s="59"/>
      <c r="N359" s="62" t="str">
        <f>IF(LEN(M359)&gt;0,IF(OR(ISLOGICAL(M359),M359="TRUE"),"Yes",""),"")</f>
      </c>
      <c r="O359" s="59"/>
      <c r="P359" s="62" t="str">
        <f>IF(LEN(O359)&gt;0,IF(OR(ISLOGICAL(O359),O359="TRUE"),"Yes",""),"")</f>
      </c>
      <c r="Q359" s="62" t="s">
        <v>98</v>
      </c>
      <c r="R359" s="63"/>
    </row>
    <row r="360" spans="1:18" s="47" customFormat="1" ht="51">
      <c r="A360" s="63" t="s">
        <v>794</v>
      </c>
      <c r="B360" s="63" t="s">
        <v>96</v>
      </c>
      <c r="C360" s="63" t="s">
        <v>795</v>
      </c>
      <c r="D360" s="61"/>
      <c r="E360" s="45">
        <v>0.305</v>
      </c>
      <c r="F360" s="45">
        <v>0.305</v>
      </c>
      <c r="G360" s="66">
        <v>46082</v>
      </c>
      <c r="H360" s="45" t="str">
        <f>IF(ISNUMBER(E360),F360-E360,"N/A")</f>
        <v>N/A</v>
      </c>
      <c r="I360" s="46" t="str">
        <f>IF(E360&lt;&gt;"",IF(F360=E360,"No Change",IF(F360&gt;E360,"Increase","Decrease")),"New")</f>
        <v>Increase</v>
      </c>
      <c r="J360" s="58" t="s">
        <v>122</v>
      </c>
      <c r="K360" s="59" t="str">
        <f>IF(LEN(J360)&gt;0,IF(OR(ISLOGICAL(J360),J360="TRUE"),"Yes",""),"")</f>
      </c>
      <c r="L360" s="59"/>
      <c r="M360" s="59"/>
      <c r="N360" s="62" t="str">
        <f>IF(LEN(M360)&gt;0,IF(OR(ISLOGICAL(M360),M360="TRUE"),"Yes",""),"")</f>
      </c>
      <c r="O360" s="59"/>
      <c r="P360" s="62" t="str">
        <f>IF(LEN(O360)&gt;0,IF(OR(ISLOGICAL(O360),O360="TRUE"),"Yes",""),"")</f>
      </c>
      <c r="Q360" s="62" t="s">
        <v>98</v>
      </c>
      <c r="R360" s="63"/>
    </row>
    <row r="361" spans="1:18" s="47" customFormat="1" ht="51">
      <c r="A361" s="63" t="s">
        <v>796</v>
      </c>
      <c r="B361" s="63" t="s">
        <v>96</v>
      </c>
      <c r="C361" s="63" t="s">
        <v>797</v>
      </c>
      <c r="D361" s="61"/>
      <c r="E361" s="45">
        <v>0.305</v>
      </c>
      <c r="F361" s="45">
        <v>0.305</v>
      </c>
      <c r="G361" s="66">
        <v>46082</v>
      </c>
      <c r="H361" s="45" t="str">
        <f>IF(ISNUMBER(E361),F361-E361,"N/A")</f>
        <v>N/A</v>
      </c>
      <c r="I361" s="46" t="str">
        <f>IF(E361&lt;&gt;"",IF(F361=E361,"No Change",IF(F361&gt;E361,"Increase","Decrease")),"New")</f>
        <v>Increase</v>
      </c>
      <c r="J361" s="58" t="s">
        <v>122</v>
      </c>
      <c r="K361" s="59" t="str">
        <f>IF(LEN(J361)&gt;0,IF(OR(ISLOGICAL(J361),J361="TRUE"),"Yes",""),"")</f>
      </c>
      <c r="L361" s="59"/>
      <c r="M361" s="59"/>
      <c r="N361" s="62" t="str">
        <f>IF(LEN(M361)&gt;0,IF(OR(ISLOGICAL(M361),M361="TRUE"),"Yes",""),"")</f>
      </c>
      <c r="O361" s="59"/>
      <c r="P361" s="62" t="str">
        <f>IF(LEN(O361)&gt;0,IF(OR(ISLOGICAL(O361),O361="TRUE"),"Yes",""),"")</f>
      </c>
      <c r="Q361" s="62" t="s">
        <v>98</v>
      </c>
      <c r="R361" s="63"/>
    </row>
    <row r="362" spans="1:18" s="47" customFormat="1" ht="51">
      <c r="A362" s="63" t="s">
        <v>798</v>
      </c>
      <c r="B362" s="63" t="s">
        <v>96</v>
      </c>
      <c r="C362" s="63" t="s">
        <v>799</v>
      </c>
      <c r="D362" s="61"/>
      <c r="E362" s="45">
        <v>0.305</v>
      </c>
      <c r="F362" s="45">
        <v>0.305</v>
      </c>
      <c r="G362" s="66">
        <v>46092</v>
      </c>
      <c r="H362" s="45" t="str">
        <f>IF(ISNUMBER(E362),F362-E362,"N/A")</f>
        <v>N/A</v>
      </c>
      <c r="I362" s="46" t="str">
        <f>IF(E362&lt;&gt;"",IF(F362=E362,"No Change",IF(F362&gt;E362,"Increase","Decrease")),"New")</f>
        <v>Increase</v>
      </c>
      <c r="J362" s="58" t="s">
        <v>122</v>
      </c>
      <c r="K362" s="59" t="str">
        <f>IF(LEN(J362)&gt;0,IF(OR(ISLOGICAL(J362),J362="TRUE"),"Yes",""),"")</f>
      </c>
      <c r="L362" s="59"/>
      <c r="M362" s="59"/>
      <c r="N362" s="62" t="str">
        <f>IF(LEN(M362)&gt;0,IF(OR(ISLOGICAL(M362),M362="TRUE"),"Yes",""),"")</f>
      </c>
      <c r="O362" s="59"/>
      <c r="P362" s="62" t="str">
        <f>IF(LEN(O362)&gt;0,IF(OR(ISLOGICAL(O362),O362="TRUE"),"Yes",""),"")</f>
      </c>
      <c r="Q362" s="62" t="s">
        <v>98</v>
      </c>
      <c r="R362" s="63"/>
    </row>
    <row r="363" spans="1:18" s="47" customFormat="1" ht="51">
      <c r="A363" s="63" t="s">
        <v>800</v>
      </c>
      <c r="B363" s="63" t="s">
        <v>96</v>
      </c>
      <c r="C363" s="63" t="s">
        <v>801</v>
      </c>
      <c r="D363" s="61"/>
      <c r="E363" s="45">
        <v>0.305</v>
      </c>
      <c r="F363" s="45">
        <v>0.305</v>
      </c>
      <c r="G363" s="66">
        <v>46082</v>
      </c>
      <c r="H363" s="45" t="str">
        <f>IF(ISNUMBER(E363),F363-E363,"N/A")</f>
        <v>N/A</v>
      </c>
      <c r="I363" s="46" t="str">
        <f>IF(E363&lt;&gt;"",IF(F363=E363,"No Change",IF(F363&gt;E363,"Increase","Decrease")),"New")</f>
        <v>Increase</v>
      </c>
      <c r="J363" s="58" t="s">
        <v>122</v>
      </c>
      <c r="K363" s="59" t="str">
        <f>IF(LEN(J363)&gt;0,IF(OR(ISLOGICAL(J363),J363="TRUE"),"Yes",""),"")</f>
      </c>
      <c r="L363" s="59"/>
      <c r="M363" s="59"/>
      <c r="N363" s="62" t="str">
        <f>IF(LEN(M363)&gt;0,IF(OR(ISLOGICAL(M363),M363="TRUE"),"Yes",""),"")</f>
      </c>
      <c r="O363" s="59"/>
      <c r="P363" s="62" t="str">
        <f>IF(LEN(O363)&gt;0,IF(OR(ISLOGICAL(O363),O363="TRUE"),"Yes",""),"")</f>
      </c>
      <c r="Q363" s="62" t="s">
        <v>98</v>
      </c>
      <c r="R363" s="63"/>
    </row>
    <row r="364" spans="1:18" s="47" customFormat="1" ht="51">
      <c r="A364" s="63" t="s">
        <v>802</v>
      </c>
      <c r="B364" s="63" t="s">
        <v>96</v>
      </c>
      <c r="C364" s="63" t="s">
        <v>803</v>
      </c>
      <c r="D364" s="61"/>
      <c r="E364" s="45">
        <v>0.305</v>
      </c>
      <c r="F364" s="45">
        <v>0.305</v>
      </c>
      <c r="G364" s="66">
        <v>46082</v>
      </c>
      <c r="H364" s="45" t="str">
        <f>IF(ISNUMBER(E364),F364-E364,"N/A")</f>
        <v>N/A</v>
      </c>
      <c r="I364" s="46" t="str">
        <f>IF(E364&lt;&gt;"",IF(F364=E364,"No Change",IF(F364&gt;E364,"Increase","Decrease")),"New")</f>
        <v>Increase</v>
      </c>
      <c r="J364" s="58"/>
      <c r="K364" s="59" t="str">
        <f>IF(LEN(J364)&gt;0,IF(OR(ISLOGICAL(J364),J364="TRUE"),"Yes",""),"")</f>
      </c>
      <c r="L364" s="59"/>
      <c r="M364" s="59"/>
      <c r="N364" s="62" t="str">
        <f>IF(LEN(M364)&gt;0,IF(OR(ISLOGICAL(M364),M364="TRUE"),"Yes",""),"")</f>
      </c>
      <c r="O364" s="59"/>
      <c r="P364" s="62" t="str">
        <f>IF(LEN(O364)&gt;0,IF(OR(ISLOGICAL(O364),O364="TRUE"),"Yes",""),"")</f>
      </c>
      <c r="Q364" s="62" t="s">
        <v>98</v>
      </c>
      <c r="R364" s="63"/>
    </row>
    <row r="365" spans="1:18" s="47" customFormat="1" ht="51">
      <c r="A365" s="63" t="s">
        <v>804</v>
      </c>
      <c r="B365" s="63" t="s">
        <v>96</v>
      </c>
      <c r="C365" s="63" t="s">
        <v>805</v>
      </c>
      <c r="D365" s="61"/>
      <c r="E365" s="45">
        <v>0.011</v>
      </c>
      <c r="F365" s="45">
        <v>0.011</v>
      </c>
      <c r="G365" s="66">
        <v>46127</v>
      </c>
      <c r="H365" s="45" t="str">
        <f>IF(ISNUMBER(E365),F365-E365,"N/A")</f>
        <v>N/A</v>
      </c>
      <c r="I365" s="46" t="str">
        <f>IF(E365&lt;&gt;"",IF(F365=E365,"No Change",IF(F365&gt;E365,"Increase","Decrease")),"New")</f>
        <v>Increase</v>
      </c>
      <c r="J365" s="58"/>
      <c r="K365" s="59" t="str">
        <f>IF(LEN(J365)&gt;0,IF(OR(ISLOGICAL(J365),J365="TRUE"),"Yes",""),"")</f>
      </c>
      <c r="L365" s="59"/>
      <c r="M365" s="59"/>
      <c r="N365" s="62" t="str">
        <f>IF(LEN(M365)&gt;0,IF(OR(ISLOGICAL(M365),M365="TRUE"),"Yes",""),"")</f>
      </c>
      <c r="O365" s="59"/>
      <c r="P365" s="62" t="str">
        <f>IF(LEN(O365)&gt;0,IF(OR(ISLOGICAL(O365),O365="TRUE"),"Yes",""),"")</f>
      </c>
      <c r="Q365" s="62" t="s">
        <v>98</v>
      </c>
      <c r="R365" s="63"/>
    </row>
    <row r="366" spans="1:18" s="47" customFormat="1" ht="51">
      <c r="A366" s="63" t="s">
        <v>806</v>
      </c>
      <c r="B366" s="63" t="s">
        <v>96</v>
      </c>
      <c r="C366" s="63" t="s">
        <v>807</v>
      </c>
      <c r="D366" s="61"/>
      <c r="E366" s="45">
        <v>0.011</v>
      </c>
      <c r="F366" s="45">
        <v>0.011</v>
      </c>
      <c r="G366" s="66">
        <v>46127</v>
      </c>
      <c r="H366" s="45" t="str">
        <f>IF(ISNUMBER(E366),F366-E366,"N/A")</f>
        <v>N/A</v>
      </c>
      <c r="I366" s="46" t="str">
        <f>IF(E366&lt;&gt;"",IF(F366=E366,"No Change",IF(F366&gt;E366,"Increase","Decrease")),"New")</f>
        <v>Increase</v>
      </c>
      <c r="J366" s="58"/>
      <c r="K366" s="59" t="str">
        <f>IF(LEN(J366)&gt;0,IF(OR(ISLOGICAL(J366),J366="TRUE"),"Yes",""),"")</f>
      </c>
      <c r="L366" s="59"/>
      <c r="M366" s="59"/>
      <c r="N366" s="62" t="str">
        <f>IF(LEN(M366)&gt;0,IF(OR(ISLOGICAL(M366),M366="TRUE"),"Yes",""),"")</f>
      </c>
      <c r="O366" s="59"/>
      <c r="P366" s="62" t="str">
        <f>IF(LEN(O366)&gt;0,IF(OR(ISLOGICAL(O366),O366="TRUE"),"Yes",""),"")</f>
      </c>
      <c r="Q366" s="62" t="s">
        <v>98</v>
      </c>
      <c r="R366" s="63"/>
    </row>
    <row r="367" spans="1:18" s="47" customFormat="1" ht="51">
      <c r="A367" s="63" t="s">
        <v>808</v>
      </c>
      <c r="B367" s="63" t="s">
        <v>96</v>
      </c>
      <c r="C367" s="63" t="s">
        <v>809</v>
      </c>
      <c r="D367" s="61"/>
      <c r="E367" s="45">
        <v>0.0975</v>
      </c>
      <c r="F367" s="45">
        <v>0.0975</v>
      </c>
      <c r="G367" s="66">
        <v>46143</v>
      </c>
      <c r="H367" s="45" t="str">
        <f>IF(ISNUMBER(E367),F367-E367,"N/A")</f>
        <v>N/A</v>
      </c>
      <c r="I367" s="46" t="str">
        <f>IF(E367&lt;&gt;"",IF(F367=E367,"No Change",IF(F367&gt;E367,"Increase","Decrease")),"New")</f>
        <v>Increase</v>
      </c>
      <c r="J367" s="58" t="s">
        <v>122</v>
      </c>
      <c r="K367" s="59" t="str">
        <f>IF(LEN(J367)&gt;0,IF(OR(ISLOGICAL(J367),J367="TRUE"),"Yes",""),"")</f>
      </c>
      <c r="L367" s="59"/>
      <c r="M367" s="59"/>
      <c r="N367" s="62" t="str">
        <f>IF(LEN(M367)&gt;0,IF(OR(ISLOGICAL(M367),M367="TRUE"),"Yes",""),"")</f>
      </c>
      <c r="O367" s="59"/>
      <c r="P367" s="62" t="str">
        <f>IF(LEN(O367)&gt;0,IF(OR(ISLOGICAL(O367),O367="TRUE"),"Yes",""),"")</f>
      </c>
      <c r="Q367" s="62" t="s">
        <v>98</v>
      </c>
      <c r="R367" s="63"/>
    </row>
    <row r="368" spans="1:18" s="47" customFormat="1" ht="51">
      <c r="A368" s="63" t="s">
        <v>810</v>
      </c>
      <c r="B368" s="63" t="s">
        <v>96</v>
      </c>
      <c r="C368" s="63" t="s">
        <v>811</v>
      </c>
      <c r="D368" s="61"/>
      <c r="E368" s="45">
        <v>0.0975</v>
      </c>
      <c r="F368" s="45">
        <v>0.0975</v>
      </c>
      <c r="G368" s="66">
        <v>46143</v>
      </c>
      <c r="H368" s="45" t="str">
        <f>IF(ISNUMBER(E368),F368-E368,"N/A")</f>
        <v>N/A</v>
      </c>
      <c r="I368" s="46" t="str">
        <f>IF(E368&lt;&gt;"",IF(F368=E368,"No Change",IF(F368&gt;E368,"Increase","Decrease")),"New")</f>
        <v>Increase</v>
      </c>
      <c r="J368" s="58"/>
      <c r="K368" s="59" t="str">
        <f>IF(LEN(J368)&gt;0,IF(OR(ISLOGICAL(J368),J368="TRUE"),"Yes",""),"")</f>
      </c>
      <c r="L368" s="59"/>
      <c r="M368" s="59"/>
      <c r="N368" s="62" t="str">
        <f>IF(LEN(M368)&gt;0,IF(OR(ISLOGICAL(M368),M368="TRUE"),"Yes",""),"")</f>
      </c>
      <c r="O368" s="59"/>
      <c r="P368" s="62" t="str">
        <f>IF(LEN(O368)&gt;0,IF(OR(ISLOGICAL(O368),O368="TRUE"),"Yes",""),"")</f>
      </c>
      <c r="Q368" s="62" t="s">
        <v>98</v>
      </c>
      <c r="R368" s="63"/>
    </row>
    <row r="369" spans="1:18" s="47" customFormat="1" ht="51">
      <c r="A369" s="63" t="s">
        <v>812</v>
      </c>
      <c r="B369" s="63" t="s">
        <v>96</v>
      </c>
      <c r="C369" s="63" t="s">
        <v>813</v>
      </c>
      <c r="D369" s="61"/>
      <c r="E369" s="45">
        <v>0.0975</v>
      </c>
      <c r="F369" s="45">
        <v>0.0975</v>
      </c>
      <c r="G369" s="66">
        <v>46143</v>
      </c>
      <c r="H369" s="45" t="str">
        <f>IF(ISNUMBER(E369),F369-E369,"N/A")</f>
        <v>N/A</v>
      </c>
      <c r="I369" s="46" t="str">
        <f>IF(E369&lt;&gt;"",IF(F369=E369,"No Change",IF(F369&gt;E369,"Increase","Decrease")),"New")</f>
        <v>Increase</v>
      </c>
      <c r="J369" s="58" t="s">
        <v>122</v>
      </c>
      <c r="K369" s="59" t="str">
        <f>IF(LEN(J369)&gt;0,IF(OR(ISLOGICAL(J369),J369="TRUE"),"Yes",""),"")</f>
      </c>
      <c r="L369" s="59"/>
      <c r="M369" s="59"/>
      <c r="N369" s="62" t="str">
        <f>IF(LEN(M369)&gt;0,IF(OR(ISLOGICAL(M369),M369="TRUE"),"Yes",""),"")</f>
      </c>
      <c r="O369" s="59"/>
      <c r="P369" s="62" t="str">
        <f>IF(LEN(O369)&gt;0,IF(OR(ISLOGICAL(O369),O369="TRUE"),"Yes",""),"")</f>
      </c>
      <c r="Q369" s="62" t="s">
        <v>98</v>
      </c>
      <c r="R369" s="63"/>
    </row>
    <row r="370" spans="1:18" s="47" customFormat="1" ht="51">
      <c r="A370" s="63" t="s">
        <v>814</v>
      </c>
      <c r="B370" s="63" t="s">
        <v>96</v>
      </c>
      <c r="C370" s="63" t="s">
        <v>815</v>
      </c>
      <c r="D370" s="61"/>
      <c r="E370" s="45">
        <v>0.0975</v>
      </c>
      <c r="F370" s="45">
        <v>0.0975</v>
      </c>
      <c r="G370" s="66">
        <v>46127</v>
      </c>
      <c r="H370" s="45" t="str">
        <f>IF(ISNUMBER(E370),F370-E370,"N/A")</f>
        <v>N/A</v>
      </c>
      <c r="I370" s="46" t="str">
        <f>IF(E370&lt;&gt;"",IF(F370=E370,"No Change",IF(F370&gt;E370,"Increase","Decrease")),"New")</f>
        <v>Increase</v>
      </c>
      <c r="J370" s="58" t="s">
        <v>122</v>
      </c>
      <c r="K370" s="59" t="str">
        <f>IF(LEN(J370)&gt;0,IF(OR(ISLOGICAL(J370),J370="TRUE"),"Yes",""),"")</f>
      </c>
      <c r="L370" s="59"/>
      <c r="M370" s="59"/>
      <c r="N370" s="62" t="str">
        <f>IF(LEN(M370)&gt;0,IF(OR(ISLOGICAL(M370),M370="TRUE"),"Yes",""),"")</f>
      </c>
      <c r="O370" s="59"/>
      <c r="P370" s="62" t="str">
        <f>IF(LEN(O370)&gt;0,IF(OR(ISLOGICAL(O370),O370="TRUE"),"Yes",""),"")</f>
      </c>
      <c r="Q370" s="62" t="s">
        <v>98</v>
      </c>
      <c r="R370" s="63"/>
    </row>
    <row r="371" spans="1:18" s="47" customFormat="1" ht="51">
      <c r="A371" s="63" t="s">
        <v>816</v>
      </c>
      <c r="B371" s="63" t="s">
        <v>96</v>
      </c>
      <c r="C371" s="63" t="s">
        <v>817</v>
      </c>
      <c r="D371" s="61"/>
      <c r="E371" s="45">
        <v>0.0975</v>
      </c>
      <c r="F371" s="45">
        <v>0.0975</v>
      </c>
      <c r="G371" s="66">
        <v>46127</v>
      </c>
      <c r="H371" s="45" t="str">
        <f>IF(ISNUMBER(E371),F371-E371,"N/A")</f>
        <v>N/A</v>
      </c>
      <c r="I371" s="46" t="str">
        <f>IF(E371&lt;&gt;"",IF(F371=E371,"No Change",IF(F371&gt;E371,"Increase","Decrease")),"New")</f>
        <v>Increase</v>
      </c>
      <c r="J371" s="58"/>
      <c r="K371" s="59" t="str">
        <f>IF(LEN(J371)&gt;0,IF(OR(ISLOGICAL(J371),J371="TRUE"),"Yes",""),"")</f>
      </c>
      <c r="L371" s="59"/>
      <c r="M371" s="59"/>
      <c r="N371" s="62" t="str">
        <f>IF(LEN(M371)&gt;0,IF(OR(ISLOGICAL(M371),M371="TRUE"),"Yes",""),"")</f>
      </c>
      <c r="O371" s="59"/>
      <c r="P371" s="62" t="str">
        <f>IF(LEN(O371)&gt;0,IF(OR(ISLOGICAL(O371),O371="TRUE"),"Yes",""),"")</f>
      </c>
      <c r="Q371" s="62" t="s">
        <v>98</v>
      </c>
      <c r="R371" s="63"/>
    </row>
    <row r="372" spans="1:18" s="47" customFormat="1" ht="51">
      <c r="A372" s="63" t="s">
        <v>818</v>
      </c>
      <c r="B372" s="63" t="s">
        <v>96</v>
      </c>
      <c r="C372" s="63" t="s">
        <v>819</v>
      </c>
      <c r="D372" s="61"/>
      <c r="E372" s="45">
        <v>0.0975</v>
      </c>
      <c r="F372" s="45">
        <v>0.0975</v>
      </c>
      <c r="G372" s="66">
        <v>46143</v>
      </c>
      <c r="H372" s="45" t="str">
        <f>IF(ISNUMBER(E372),F372-E372,"N/A")</f>
        <v>N/A</v>
      </c>
      <c r="I372" s="46" t="str">
        <f>IF(E372&lt;&gt;"",IF(F372=E372,"No Change",IF(F372&gt;E372,"Increase","Decrease")),"New")</f>
        <v>Increase</v>
      </c>
      <c r="J372" s="58"/>
      <c r="K372" s="59" t="str">
        <f>IF(LEN(J372)&gt;0,IF(OR(ISLOGICAL(J372),J372="TRUE"),"Yes",""),"")</f>
      </c>
      <c r="L372" s="59"/>
      <c r="M372" s="59"/>
      <c r="N372" s="62" t="str">
        <f>IF(LEN(M372)&gt;0,IF(OR(ISLOGICAL(M372),M372="TRUE"),"Yes",""),"")</f>
      </c>
      <c r="O372" s="59"/>
      <c r="P372" s="62" t="str">
        <f>IF(LEN(O372)&gt;0,IF(OR(ISLOGICAL(O372),O372="TRUE"),"Yes",""),"")</f>
      </c>
      <c r="Q372" s="62" t="s">
        <v>98</v>
      </c>
      <c r="R372" s="63"/>
    </row>
    <row r="373" spans="1:18" s="47" customFormat="1" ht="51">
      <c r="A373" s="63" t="s">
        <v>820</v>
      </c>
      <c r="B373" s="63" t="s">
        <v>96</v>
      </c>
      <c r="C373" s="63" t="s">
        <v>821</v>
      </c>
      <c r="D373" s="61"/>
      <c r="E373" s="45">
        <v>0.0975</v>
      </c>
      <c r="F373" s="45">
        <v>0.0975</v>
      </c>
      <c r="G373" s="66">
        <v>46143</v>
      </c>
      <c r="H373" s="45" t="str">
        <f>IF(ISNUMBER(E373),F373-E373,"N/A")</f>
        <v>N/A</v>
      </c>
      <c r="I373" s="46" t="str">
        <f>IF(E373&lt;&gt;"",IF(F373=E373,"No Change",IF(F373&gt;E373,"Increase","Decrease")),"New")</f>
        <v>Increase</v>
      </c>
      <c r="J373" s="58" t="s">
        <v>122</v>
      </c>
      <c r="K373" s="59" t="str">
        <f>IF(LEN(J373)&gt;0,IF(OR(ISLOGICAL(J373),J373="TRUE"),"Yes",""),"")</f>
      </c>
      <c r="L373" s="59"/>
      <c r="M373" s="59"/>
      <c r="N373" s="62" t="str">
        <f>IF(LEN(M373)&gt;0,IF(OR(ISLOGICAL(M373),M373="TRUE"),"Yes",""),"")</f>
      </c>
      <c r="O373" s="59"/>
      <c r="P373" s="62" t="str">
        <f>IF(LEN(O373)&gt;0,IF(OR(ISLOGICAL(O373),O373="TRUE"),"Yes",""),"")</f>
      </c>
      <c r="Q373" s="62" t="s">
        <v>98</v>
      </c>
      <c r="R373" s="63"/>
    </row>
    <row r="374" spans="1:18" s="47" customFormat="1" ht="51">
      <c r="A374" s="63" t="s">
        <v>822</v>
      </c>
      <c r="B374" s="63" t="s">
        <v>96</v>
      </c>
      <c r="C374" s="63" t="s">
        <v>823</v>
      </c>
      <c r="D374" s="61"/>
      <c r="E374" s="45">
        <v>0.0975</v>
      </c>
      <c r="F374" s="45">
        <v>0.0975</v>
      </c>
      <c r="G374" s="66">
        <v>46143</v>
      </c>
      <c r="H374" s="45" t="str">
        <f>IF(ISNUMBER(E374),F374-E374,"N/A")</f>
        <v>N/A</v>
      </c>
      <c r="I374" s="46" t="str">
        <f>IF(E374&lt;&gt;"",IF(F374=E374,"No Change",IF(F374&gt;E374,"Increase","Decrease")),"New")</f>
        <v>Increase</v>
      </c>
      <c r="J374" s="58"/>
      <c r="K374" s="59" t="str">
        <f>IF(LEN(J374)&gt;0,IF(OR(ISLOGICAL(J374),J374="TRUE"),"Yes",""),"")</f>
      </c>
      <c r="L374" s="59"/>
      <c r="M374" s="59"/>
      <c r="N374" s="62" t="str">
        <f>IF(LEN(M374)&gt;0,IF(OR(ISLOGICAL(M374),M374="TRUE"),"Yes",""),"")</f>
      </c>
      <c r="O374" s="59"/>
      <c r="P374" s="62" t="str">
        <f>IF(LEN(O374)&gt;0,IF(OR(ISLOGICAL(O374),O374="TRUE"),"Yes",""),"")</f>
      </c>
      <c r="Q374" s="62" t="s">
        <v>98</v>
      </c>
      <c r="R374" s="63"/>
    </row>
    <row r="375" spans="1:18" s="47" customFormat="1" ht="51">
      <c r="A375" s="63" t="s">
        <v>824</v>
      </c>
      <c r="B375" s="63" t="s">
        <v>96</v>
      </c>
      <c r="C375" s="63" t="s">
        <v>825</v>
      </c>
      <c r="D375" s="61"/>
      <c r="E375" s="45">
        <v>0.0975</v>
      </c>
      <c r="F375" s="45">
        <v>0.0975</v>
      </c>
      <c r="G375" s="66">
        <v>46143</v>
      </c>
      <c r="H375" s="45" t="str">
        <f>IF(ISNUMBER(E375),F375-E375,"N/A")</f>
        <v>N/A</v>
      </c>
      <c r="I375" s="46" t="str">
        <f>IF(E375&lt;&gt;"",IF(F375=E375,"No Change",IF(F375&gt;E375,"Increase","Decrease")),"New")</f>
        <v>Increase</v>
      </c>
      <c r="J375" s="58"/>
      <c r="K375" s="59" t="str">
        <f>IF(LEN(J375)&gt;0,IF(OR(ISLOGICAL(J375),J375="TRUE"),"Yes",""),"")</f>
      </c>
      <c r="L375" s="59"/>
      <c r="M375" s="59"/>
      <c r="N375" s="62" t="str">
        <f>IF(LEN(M375)&gt;0,IF(OR(ISLOGICAL(M375),M375="TRUE"),"Yes",""),"")</f>
      </c>
      <c r="O375" s="59"/>
      <c r="P375" s="62" t="str">
        <f>IF(LEN(O375)&gt;0,IF(OR(ISLOGICAL(O375),O375="TRUE"),"Yes",""),"")</f>
      </c>
      <c r="Q375" s="62" t="s">
        <v>98</v>
      </c>
      <c r="R375" s="63"/>
    </row>
    <row r="376" spans="1:18" s="47" customFormat="1" ht="51">
      <c r="A376" s="63" t="s">
        <v>826</v>
      </c>
      <c r="B376" s="63" t="s">
        <v>96</v>
      </c>
      <c r="C376" s="63" t="s">
        <v>827</v>
      </c>
      <c r="D376" s="61"/>
      <c r="E376" s="45">
        <v>0.0975</v>
      </c>
      <c r="F376" s="45">
        <v>0.0975</v>
      </c>
      <c r="G376" s="66">
        <v>46143</v>
      </c>
      <c r="H376" s="45" t="str">
        <f>IF(ISNUMBER(E376),F376-E376,"N/A")</f>
        <v>N/A</v>
      </c>
      <c r="I376" s="46" t="str">
        <f>IF(E376&lt;&gt;"",IF(F376=E376,"No Change",IF(F376&gt;E376,"Increase","Decrease")),"New")</f>
        <v>Increase</v>
      </c>
      <c r="J376" s="58" t="s">
        <v>122</v>
      </c>
      <c r="K376" s="59" t="str">
        <f>IF(LEN(J376)&gt;0,IF(OR(ISLOGICAL(J376),J376="TRUE"),"Yes",""),"")</f>
      </c>
      <c r="L376" s="59"/>
      <c r="M376" s="59"/>
      <c r="N376" s="62" t="str">
        <f>IF(LEN(M376)&gt;0,IF(OR(ISLOGICAL(M376),M376="TRUE"),"Yes",""),"")</f>
      </c>
      <c r="O376" s="59"/>
      <c r="P376" s="62" t="str">
        <f>IF(LEN(O376)&gt;0,IF(OR(ISLOGICAL(O376),O376="TRUE"),"Yes",""),"")</f>
      </c>
      <c r="Q376" s="62" t="s">
        <v>98</v>
      </c>
      <c r="R376" s="63"/>
    </row>
    <row r="377" spans="1:18" s="47" customFormat="1" ht="51">
      <c r="A377" s="63" t="s">
        <v>828</v>
      </c>
      <c r="B377" s="63" t="s">
        <v>96</v>
      </c>
      <c r="C377" s="63" t="s">
        <v>829</v>
      </c>
      <c r="D377" s="61"/>
      <c r="E377" s="45">
        <v>0.0975</v>
      </c>
      <c r="F377" s="45">
        <v>0.0975</v>
      </c>
      <c r="G377" s="66">
        <v>46143</v>
      </c>
      <c r="H377" s="45" t="str">
        <f>IF(ISNUMBER(E377),F377-E377,"N/A")</f>
        <v>N/A</v>
      </c>
      <c r="I377" s="46" t="str">
        <f>IF(E377&lt;&gt;"",IF(F377=E377,"No Change",IF(F377&gt;E377,"Increase","Decrease")),"New")</f>
        <v>Increase</v>
      </c>
      <c r="J377" s="58"/>
      <c r="K377" s="59" t="str">
        <f>IF(LEN(J377)&gt;0,IF(OR(ISLOGICAL(J377),J377="TRUE"),"Yes",""),"")</f>
      </c>
      <c r="L377" s="59"/>
      <c r="M377" s="59"/>
      <c r="N377" s="62" t="str">
        <f>IF(LEN(M377)&gt;0,IF(OR(ISLOGICAL(M377),M377="TRUE"),"Yes",""),"")</f>
      </c>
      <c r="O377" s="59"/>
      <c r="P377" s="62" t="str">
        <f>IF(LEN(O377)&gt;0,IF(OR(ISLOGICAL(O377),O377="TRUE"),"Yes",""),"")</f>
      </c>
      <c r="Q377" s="62" t="s">
        <v>98</v>
      </c>
      <c r="R377" s="63"/>
    </row>
    <row r="378" spans="1:18" s="47" customFormat="1" ht="51">
      <c r="A378" s="63" t="s">
        <v>830</v>
      </c>
      <c r="B378" s="63" t="s">
        <v>96</v>
      </c>
      <c r="C378" s="63" t="s">
        <v>831</v>
      </c>
      <c r="D378" s="61"/>
      <c r="E378" s="45">
        <v>0.3</v>
      </c>
      <c r="F378" s="45">
        <v>0.3</v>
      </c>
      <c r="G378" s="66">
        <v>46113</v>
      </c>
      <c r="H378" s="45" t="str">
        <f>IF(ISNUMBER(E378),F378-E378,"N/A")</f>
        <v>N/A</v>
      </c>
      <c r="I378" s="46" t="str">
        <f>IF(E378&lt;&gt;"",IF(F378=E378,"No Change",IF(F378&gt;E378,"Increase","Decrease")),"New")</f>
        <v>Increase</v>
      </c>
      <c r="J378" s="58"/>
      <c r="K378" s="59" t="str">
        <f>IF(LEN(J378)&gt;0,IF(OR(ISLOGICAL(J378),J378="TRUE"),"Yes",""),"")</f>
      </c>
      <c r="L378" s="59"/>
      <c r="M378" s="59"/>
      <c r="N378" s="62" t="str">
        <f>IF(LEN(M378)&gt;0,IF(OR(ISLOGICAL(M378),M378="TRUE"),"Yes",""),"")</f>
      </c>
      <c r="O378" s="59"/>
      <c r="P378" s="62" t="str">
        <f>IF(LEN(O378)&gt;0,IF(OR(ISLOGICAL(O378),O378="TRUE"),"Yes",""),"")</f>
      </c>
      <c r="Q378" s="62" t="s">
        <v>98</v>
      </c>
      <c r="R378" s="63"/>
    </row>
    <row r="379" spans="1:18" s="47" customFormat="1" ht="51">
      <c r="A379" s="63" t="s">
        <v>832</v>
      </c>
      <c r="B379" s="63" t="s">
        <v>96</v>
      </c>
      <c r="C379" s="63" t="s">
        <v>833</v>
      </c>
      <c r="D379" s="61"/>
      <c r="E379" s="45">
        <v>0.235</v>
      </c>
      <c r="F379" s="45">
        <v>0.235</v>
      </c>
      <c r="G379" s="66">
        <v>46078</v>
      </c>
      <c r="H379" s="45" t="str">
        <f>IF(ISNUMBER(E379),F379-E379,"N/A")</f>
        <v>N/A</v>
      </c>
      <c r="I379" s="46" t="str">
        <f>IF(E379&lt;&gt;"",IF(F379=E379,"No Change",IF(F379&gt;E379,"Increase","Decrease")),"New")</f>
        <v>Increase</v>
      </c>
      <c r="J379" s="58"/>
      <c r="K379" s="59" t="str">
        <f>IF(LEN(J379)&gt;0,IF(OR(ISLOGICAL(J379),J379="TRUE"),"Yes",""),"")</f>
      </c>
      <c r="L379" s="59"/>
      <c r="M379" s="59"/>
      <c r="N379" s="62" t="str">
        <f>IF(LEN(M379)&gt;0,IF(OR(ISLOGICAL(M379),M379="TRUE"),"Yes",""),"")</f>
      </c>
      <c r="O379" s="59"/>
      <c r="P379" s="62" t="str">
        <f>IF(LEN(O379)&gt;0,IF(OR(ISLOGICAL(O379),O379="TRUE"),"Yes",""),"")</f>
      </c>
      <c r="Q379" s="62" t="s">
        <v>98</v>
      </c>
      <c r="R379" s="63"/>
    </row>
    <row r="380" spans="1:18" s="47" customFormat="1" ht="51">
      <c r="A380" s="63" t="s">
        <v>834</v>
      </c>
      <c r="B380" s="63" t="s">
        <v>96</v>
      </c>
      <c r="C380" s="63" t="s">
        <v>835</v>
      </c>
      <c r="D380" s="61"/>
      <c r="E380" s="45">
        <v>0.235</v>
      </c>
      <c r="F380" s="45">
        <v>0.235</v>
      </c>
      <c r="G380" s="66">
        <v>46078</v>
      </c>
      <c r="H380" s="45" t="str">
        <f>IF(ISNUMBER(E380),F380-E380,"N/A")</f>
        <v>N/A</v>
      </c>
      <c r="I380" s="46" t="str">
        <f>IF(E380&lt;&gt;"",IF(F380=E380,"No Change",IF(F380&gt;E380,"Increase","Decrease")),"New")</f>
        <v>Increase</v>
      </c>
      <c r="J380" s="58"/>
      <c r="K380" s="59" t="str">
        <f>IF(LEN(J380)&gt;0,IF(OR(ISLOGICAL(J380),J380="TRUE"),"Yes",""),"")</f>
      </c>
      <c r="L380" s="59"/>
      <c r="M380" s="59"/>
      <c r="N380" s="62" t="str">
        <f>IF(LEN(M380)&gt;0,IF(OR(ISLOGICAL(M380),M380="TRUE"),"Yes",""),"")</f>
      </c>
      <c r="O380" s="59"/>
      <c r="P380" s="62" t="str">
        <f>IF(LEN(O380)&gt;0,IF(OR(ISLOGICAL(O380),O380="TRUE"),"Yes",""),"")</f>
      </c>
      <c r="Q380" s="62" t="s">
        <v>98</v>
      </c>
      <c r="R380" s="63"/>
    </row>
    <row r="381" spans="1:18" s="47" customFormat="1" ht="51">
      <c r="A381" s="63" t="s">
        <v>836</v>
      </c>
      <c r="B381" s="63" t="s">
        <v>96</v>
      </c>
      <c r="C381" s="63" t="s">
        <v>837</v>
      </c>
      <c r="D381" s="61"/>
      <c r="E381" s="45">
        <v>0.235</v>
      </c>
      <c r="F381" s="45">
        <v>0.235</v>
      </c>
      <c r="G381" s="66">
        <v>46082</v>
      </c>
      <c r="H381" s="45" t="str">
        <f>IF(ISNUMBER(E381),F381-E381,"N/A")</f>
        <v>N/A</v>
      </c>
      <c r="I381" s="46" t="str">
        <f>IF(E381&lt;&gt;"",IF(F381=E381,"No Change",IF(F381&gt;E381,"Increase","Decrease")),"New")</f>
        <v>Increase</v>
      </c>
      <c r="J381" s="58"/>
      <c r="K381" s="59" t="str">
        <f>IF(LEN(J381)&gt;0,IF(OR(ISLOGICAL(J381),J381="TRUE"),"Yes",""),"")</f>
      </c>
      <c r="L381" s="59"/>
      <c r="M381" s="59"/>
      <c r="N381" s="62" t="str">
        <f>IF(LEN(M381)&gt;0,IF(OR(ISLOGICAL(M381),M381="TRUE"),"Yes",""),"")</f>
      </c>
      <c r="O381" s="59"/>
      <c r="P381" s="62" t="str">
        <f>IF(LEN(O381)&gt;0,IF(OR(ISLOGICAL(O381),O381="TRUE"),"Yes",""),"")</f>
      </c>
      <c r="Q381" s="62" t="s">
        <v>98</v>
      </c>
      <c r="R381" s="63"/>
    </row>
    <row r="382" spans="1:18" s="47" customFormat="1" ht="51">
      <c r="A382" s="63" t="s">
        <v>838</v>
      </c>
      <c r="B382" s="63" t="s">
        <v>96</v>
      </c>
      <c r="C382" s="63" t="s">
        <v>839</v>
      </c>
      <c r="D382" s="61"/>
      <c r="E382" s="45">
        <v>0.235</v>
      </c>
      <c r="F382" s="45">
        <v>0.235</v>
      </c>
      <c r="G382" s="66">
        <v>46078</v>
      </c>
      <c r="H382" s="45" t="str">
        <f>IF(ISNUMBER(E382),F382-E382,"N/A")</f>
        <v>N/A</v>
      </c>
      <c r="I382" s="46" t="str">
        <f>IF(E382&lt;&gt;"",IF(F382=E382,"No Change",IF(F382&gt;E382,"Increase","Decrease")),"New")</f>
        <v>Increase</v>
      </c>
      <c r="J382" s="58"/>
      <c r="K382" s="59" t="str">
        <f>IF(LEN(J382)&gt;0,IF(OR(ISLOGICAL(J382),J382="TRUE"),"Yes",""),"")</f>
      </c>
      <c r="L382" s="59"/>
      <c r="M382" s="59"/>
      <c r="N382" s="62" t="str">
        <f>IF(LEN(M382)&gt;0,IF(OR(ISLOGICAL(M382),M382="TRUE"),"Yes",""),"")</f>
      </c>
      <c r="O382" s="59"/>
      <c r="P382" s="62" t="str">
        <f>IF(LEN(O382)&gt;0,IF(OR(ISLOGICAL(O382),O382="TRUE"),"Yes",""),"")</f>
      </c>
      <c r="Q382" s="62" t="s">
        <v>98</v>
      </c>
      <c r="R382" s="63"/>
    </row>
    <row r="383" spans="1:18" s="47" customFormat="1" ht="51">
      <c r="A383" s="63" t="s">
        <v>840</v>
      </c>
      <c r="B383" s="63" t="s">
        <v>96</v>
      </c>
      <c r="C383" s="63" t="s">
        <v>841</v>
      </c>
      <c r="D383" s="61"/>
      <c r="E383" s="45">
        <v>0.235</v>
      </c>
      <c r="F383" s="45">
        <v>0.235</v>
      </c>
      <c r="G383" s="66">
        <v>46078</v>
      </c>
      <c r="H383" s="45" t="str">
        <f>IF(ISNUMBER(E383),F383-E383,"N/A")</f>
        <v>N/A</v>
      </c>
      <c r="I383" s="46" t="str">
        <f>IF(E383&lt;&gt;"",IF(F383=E383,"No Change",IF(F383&gt;E383,"Increase","Decrease")),"New")</f>
        <v>Increase</v>
      </c>
      <c r="J383" s="58"/>
      <c r="K383" s="59" t="str">
        <f>IF(LEN(J383)&gt;0,IF(OR(ISLOGICAL(J383),J383="TRUE"),"Yes",""),"")</f>
      </c>
      <c r="L383" s="59"/>
      <c r="M383" s="59"/>
      <c r="N383" s="62" t="str">
        <f>IF(LEN(M383)&gt;0,IF(OR(ISLOGICAL(M383),M383="TRUE"),"Yes",""),"")</f>
      </c>
      <c r="O383" s="59"/>
      <c r="P383" s="62" t="str">
        <f>IF(LEN(O383)&gt;0,IF(OR(ISLOGICAL(O383),O383="TRUE"),"Yes",""),"")</f>
      </c>
      <c r="Q383" s="62" t="s">
        <v>98</v>
      </c>
      <c r="R383" s="63"/>
    </row>
    <row r="384" spans="1:18" s="47" customFormat="1" ht="51">
      <c r="A384" s="63" t="s">
        <v>842</v>
      </c>
      <c r="B384" s="63" t="s">
        <v>96</v>
      </c>
      <c r="C384" s="63" t="s">
        <v>843</v>
      </c>
      <c r="D384" s="61"/>
      <c r="E384" s="45">
        <v>0.145</v>
      </c>
      <c r="F384" s="45">
        <v>0.145</v>
      </c>
      <c r="G384" s="66">
        <v>44206</v>
      </c>
      <c r="H384" s="45" t="str">
        <f>IF(ISNUMBER(E384),F384-E384,"N/A")</f>
        <v>N/A</v>
      </c>
      <c r="I384" s="46" t="str">
        <f>IF(E384&lt;&gt;"",IF(F384=E384,"No Change",IF(F384&gt;E384,"Increase","Decrease")),"New")</f>
        <v>Increase</v>
      </c>
      <c r="J384" s="58"/>
      <c r="K384" s="59" t="str">
        <f>IF(LEN(J384)&gt;0,IF(OR(ISLOGICAL(J384),J384="TRUE"),"Yes",""),"")</f>
      </c>
      <c r="L384" s="59"/>
      <c r="M384" s="59"/>
      <c r="N384" s="62" t="str">
        <f>IF(LEN(M384)&gt;0,IF(OR(ISLOGICAL(M384),M384="TRUE"),"Yes",""),"")</f>
      </c>
      <c r="O384" s="59"/>
      <c r="P384" s="62" t="str">
        <f>IF(LEN(O384)&gt;0,IF(OR(ISLOGICAL(O384),O384="TRUE"),"Yes",""),"")</f>
      </c>
      <c r="Q384" s="62" t="s">
        <v>109</v>
      </c>
      <c r="R384" s="63"/>
    </row>
    <row r="385" spans="1:18" s="47" customFormat="1" ht="51">
      <c r="A385" s="63" t="s">
        <v>844</v>
      </c>
      <c r="B385" s="63" t="s">
        <v>96</v>
      </c>
      <c r="C385" s="63" t="s">
        <v>845</v>
      </c>
      <c r="D385" s="61"/>
      <c r="E385" s="45">
        <v>0.2072</v>
      </c>
      <c r="F385" s="45">
        <v>0.2072</v>
      </c>
      <c r="G385" s="66">
        <v>45931</v>
      </c>
      <c r="H385" s="45" t="str">
        <f>IF(ISNUMBER(E385),F385-E385,"N/A")</f>
        <v>N/A</v>
      </c>
      <c r="I385" s="46" t="str">
        <f>IF(E385&lt;&gt;"",IF(F385=E385,"No Change",IF(F385&gt;E385,"Increase","Decrease")),"New")</f>
        <v>Increase</v>
      </c>
      <c r="J385" s="58" t="s">
        <v>122</v>
      </c>
      <c r="K385" s="59" t="str">
        <f>IF(LEN(J385)&gt;0,IF(OR(ISLOGICAL(J385),J385="TRUE"),"Yes",""),"")</f>
      </c>
      <c r="L385" s="59"/>
      <c r="M385" s="59"/>
      <c r="N385" s="62" t="str">
        <f>IF(LEN(M385)&gt;0,IF(OR(ISLOGICAL(M385),M385="TRUE"),"Yes",""),"")</f>
      </c>
      <c r="O385" s="59"/>
      <c r="P385" s="62" t="str">
        <f>IF(LEN(O385)&gt;0,IF(OR(ISLOGICAL(O385),O385="TRUE"),"Yes",""),"")</f>
      </c>
      <c r="Q385" s="62" t="s">
        <v>109</v>
      </c>
      <c r="R385" s="63"/>
    </row>
    <row r="386" spans="1:18" s="47" customFormat="1" ht="51">
      <c r="A386" s="63" t="s">
        <v>846</v>
      </c>
      <c r="B386" s="63" t="s">
        <v>96</v>
      </c>
      <c r="C386" s="63" t="s">
        <v>847</v>
      </c>
      <c r="D386" s="61"/>
      <c r="E386" s="45">
        <v>0.2072</v>
      </c>
      <c r="F386" s="45">
        <v>0.2072</v>
      </c>
      <c r="G386" s="66">
        <v>45931</v>
      </c>
      <c r="H386" s="45" t="str">
        <f>IF(ISNUMBER(E386),F386-E386,"N/A")</f>
        <v>N/A</v>
      </c>
      <c r="I386" s="46" t="str">
        <f>IF(E386&lt;&gt;"",IF(F386=E386,"No Change",IF(F386&gt;E386,"Increase","Decrease")),"New")</f>
        <v>Increase</v>
      </c>
      <c r="J386" s="58" t="s">
        <v>122</v>
      </c>
      <c r="K386" s="59" t="str">
        <f>IF(LEN(J386)&gt;0,IF(OR(ISLOGICAL(J386),J386="TRUE"),"Yes",""),"")</f>
      </c>
      <c r="L386" s="59"/>
      <c r="M386" s="59"/>
      <c r="N386" s="62" t="str">
        <f>IF(LEN(M386)&gt;0,IF(OR(ISLOGICAL(M386),M386="TRUE"),"Yes",""),"")</f>
      </c>
      <c r="O386" s="59"/>
      <c r="P386" s="62" t="str">
        <f>IF(LEN(O386)&gt;0,IF(OR(ISLOGICAL(O386),O386="TRUE"),"Yes",""),"")</f>
      </c>
      <c r="Q386" s="62" t="s">
        <v>109</v>
      </c>
      <c r="R386" s="63"/>
    </row>
    <row r="387" spans="1:18" s="47" customFormat="1" ht="51">
      <c r="A387" s="63" t="s">
        <v>848</v>
      </c>
      <c r="B387" s="63" t="s">
        <v>96</v>
      </c>
      <c r="C387" s="63" t="s">
        <v>849</v>
      </c>
      <c r="D387" s="61"/>
      <c r="E387" s="45">
        <v>0.2072</v>
      </c>
      <c r="F387" s="45">
        <v>0.2072</v>
      </c>
      <c r="G387" s="66">
        <v>45931</v>
      </c>
      <c r="H387" s="45" t="str">
        <f>IF(ISNUMBER(E387),F387-E387,"N/A")</f>
        <v>N/A</v>
      </c>
      <c r="I387" s="46" t="str">
        <f>IF(E387&lt;&gt;"",IF(F387=E387,"No Change",IF(F387&gt;E387,"Increase","Decrease")),"New")</f>
        <v>Increase</v>
      </c>
      <c r="J387" s="58"/>
      <c r="K387" s="59" t="str">
        <f>IF(LEN(J387)&gt;0,IF(OR(ISLOGICAL(J387),J387="TRUE"),"Yes",""),"")</f>
      </c>
      <c r="L387" s="59"/>
      <c r="M387" s="59"/>
      <c r="N387" s="62" t="str">
        <f>IF(LEN(M387)&gt;0,IF(OR(ISLOGICAL(M387),M387="TRUE"),"Yes",""),"")</f>
      </c>
      <c r="O387" s="59"/>
      <c r="P387" s="62" t="str">
        <f>IF(LEN(O387)&gt;0,IF(OR(ISLOGICAL(O387),O387="TRUE"),"Yes",""),"")</f>
      </c>
      <c r="Q387" s="62" t="s">
        <v>109</v>
      </c>
      <c r="R387" s="63"/>
    </row>
    <row r="388" spans="1:18" s="47" customFormat="1" ht="51">
      <c r="A388" s="63" t="s">
        <v>850</v>
      </c>
      <c r="B388" s="63" t="s">
        <v>96</v>
      </c>
      <c r="C388" s="63" t="s">
        <v>851</v>
      </c>
      <c r="D388" s="61"/>
      <c r="E388" s="45">
        <v>0.36</v>
      </c>
      <c r="F388" s="45">
        <v>0.36</v>
      </c>
      <c r="G388" s="66">
        <v>46085</v>
      </c>
      <c r="H388" s="45" t="str">
        <f>IF(ISNUMBER(E388),F388-E388,"N/A")</f>
        <v>N/A</v>
      </c>
      <c r="I388" s="46" t="str">
        <f>IF(E388&lt;&gt;"",IF(F388=E388,"No Change",IF(F388&gt;E388,"Increase","Decrease")),"New")</f>
        <v>Increase</v>
      </c>
      <c r="J388" s="58"/>
      <c r="K388" s="59" t="str">
        <f>IF(LEN(J388)&gt;0,IF(OR(ISLOGICAL(J388),J388="TRUE"),"Yes",""),"")</f>
      </c>
      <c r="L388" s="59"/>
      <c r="M388" s="59"/>
      <c r="N388" s="62" t="str">
        <f>IF(LEN(M388)&gt;0,IF(OR(ISLOGICAL(M388),M388="TRUE"),"Yes",""),"")</f>
      </c>
      <c r="O388" s="59"/>
      <c r="P388" s="62" t="str">
        <f>IF(LEN(O388)&gt;0,IF(OR(ISLOGICAL(O388),O388="TRUE"),"Yes",""),"")</f>
      </c>
      <c r="Q388" s="62" t="s">
        <v>98</v>
      </c>
      <c r="R388" s="63"/>
    </row>
    <row r="389" spans="1:18" s="47" customFormat="1" ht="51">
      <c r="A389" s="63" t="s">
        <v>852</v>
      </c>
      <c r="B389" s="63" t="s">
        <v>96</v>
      </c>
      <c r="C389" s="63" t="s">
        <v>853</v>
      </c>
      <c r="D389" s="61"/>
      <c r="E389" s="45">
        <v>0.355</v>
      </c>
      <c r="F389" s="45">
        <v>0.355</v>
      </c>
      <c r="G389" s="66">
        <v>46078</v>
      </c>
      <c r="H389" s="45" t="str">
        <f>IF(ISNUMBER(E389),F389-E389,"N/A")</f>
        <v>N/A</v>
      </c>
      <c r="I389" s="46" t="str">
        <f>IF(E389&lt;&gt;"",IF(F389=E389,"No Change",IF(F389&gt;E389,"Increase","Decrease")),"New")</f>
        <v>Increase</v>
      </c>
      <c r="J389" s="58" t="s">
        <v>122</v>
      </c>
      <c r="K389" s="59" t="str">
        <f>IF(LEN(J389)&gt;0,IF(OR(ISLOGICAL(J389),J389="TRUE"),"Yes",""),"")</f>
      </c>
      <c r="L389" s="59"/>
      <c r="M389" s="59"/>
      <c r="N389" s="62" t="str">
        <f>IF(LEN(M389)&gt;0,IF(OR(ISLOGICAL(M389),M389="TRUE"),"Yes",""),"")</f>
      </c>
      <c r="O389" s="59"/>
      <c r="P389" s="62" t="str">
        <f>IF(LEN(O389)&gt;0,IF(OR(ISLOGICAL(O389),O389="TRUE"),"Yes",""),"")</f>
      </c>
      <c r="Q389" s="62" t="s">
        <v>98</v>
      </c>
      <c r="R389" s="63"/>
    </row>
    <row r="390" spans="1:18" s="47" customFormat="1" ht="51">
      <c r="A390" s="63" t="s">
        <v>854</v>
      </c>
      <c r="B390" s="63" t="s">
        <v>96</v>
      </c>
      <c r="C390" s="63" t="s">
        <v>855</v>
      </c>
      <c r="D390" s="61"/>
      <c r="E390" s="45">
        <v>0.345</v>
      </c>
      <c r="F390" s="45">
        <v>0.345</v>
      </c>
      <c r="G390" s="66">
        <v>46082</v>
      </c>
      <c r="H390" s="45" t="str">
        <f>IF(ISNUMBER(E390),F390-E390,"N/A")</f>
        <v>N/A</v>
      </c>
      <c r="I390" s="46" t="str">
        <f>IF(E390&lt;&gt;"",IF(F390=E390,"No Change",IF(F390&gt;E390,"Increase","Decrease")),"New")</f>
        <v>Increase</v>
      </c>
      <c r="J390" s="58" t="s">
        <v>122</v>
      </c>
      <c r="K390" s="59" t="str">
        <f>IF(LEN(J390)&gt;0,IF(OR(ISLOGICAL(J390),J390="TRUE"),"Yes",""),"")</f>
      </c>
      <c r="L390" s="59"/>
      <c r="M390" s="59"/>
      <c r="N390" s="62" t="str">
        <f>IF(LEN(M390)&gt;0,IF(OR(ISLOGICAL(M390),M390="TRUE"),"Yes",""),"")</f>
      </c>
      <c r="O390" s="59"/>
      <c r="P390" s="62" t="str">
        <f>IF(LEN(O390)&gt;0,IF(OR(ISLOGICAL(O390),O390="TRUE"),"Yes",""),"")</f>
      </c>
      <c r="Q390" s="62" t="s">
        <v>98</v>
      </c>
      <c r="R390" s="63"/>
    </row>
    <row r="391" spans="1:18" s="47" customFormat="1" ht="51">
      <c r="A391" s="63" t="s">
        <v>856</v>
      </c>
      <c r="B391" s="63" t="s">
        <v>96</v>
      </c>
      <c r="C391" s="63" t="s">
        <v>857</v>
      </c>
      <c r="D391" s="61"/>
      <c r="E391" s="45">
        <v>0.312</v>
      </c>
      <c r="F391" s="45">
        <v>0.312</v>
      </c>
      <c r="G391" s="66">
        <v>46078</v>
      </c>
      <c r="H391" s="45" t="str">
        <f>IF(ISNUMBER(E391),F391-E391,"N/A")</f>
        <v>N/A</v>
      </c>
      <c r="I391" s="46" t="str">
        <f>IF(E391&lt;&gt;"",IF(F391=E391,"No Change",IF(F391&gt;E391,"Increase","Decrease")),"New")</f>
        <v>Increase</v>
      </c>
      <c r="J391" s="58" t="s">
        <v>122</v>
      </c>
      <c r="K391" s="59" t="str">
        <f>IF(LEN(J391)&gt;0,IF(OR(ISLOGICAL(J391),J391="TRUE"),"Yes",""),"")</f>
      </c>
      <c r="L391" s="59"/>
      <c r="M391" s="59"/>
      <c r="N391" s="62" t="str">
        <f>IF(LEN(M391)&gt;0,IF(OR(ISLOGICAL(M391),M391="TRUE"),"Yes",""),"")</f>
      </c>
      <c r="O391" s="59"/>
      <c r="P391" s="62" t="str">
        <f>IF(LEN(O391)&gt;0,IF(OR(ISLOGICAL(O391),O391="TRUE"),"Yes",""),"")</f>
      </c>
      <c r="Q391" s="62" t="s">
        <v>98</v>
      </c>
      <c r="R391" s="63"/>
    </row>
    <row r="392" spans="1:18" s="47" customFormat="1" ht="51">
      <c r="A392" s="63" t="s">
        <v>858</v>
      </c>
      <c r="B392" s="63" t="s">
        <v>96</v>
      </c>
      <c r="C392" s="63" t="s">
        <v>859</v>
      </c>
      <c r="D392" s="61"/>
      <c r="E392" s="45">
        <v>0.48</v>
      </c>
      <c r="F392" s="45">
        <v>0.48</v>
      </c>
      <c r="G392" s="66">
        <v>46113</v>
      </c>
      <c r="H392" s="45" t="str">
        <f>IF(ISNUMBER(E392),F392-E392,"N/A")</f>
        <v>N/A</v>
      </c>
      <c r="I392" s="46" t="str">
        <f>IF(E392&lt;&gt;"",IF(F392=E392,"No Change",IF(F392&gt;E392,"Increase","Decrease")),"New")</f>
        <v>Increase</v>
      </c>
      <c r="J392" s="58"/>
      <c r="K392" s="59" t="str">
        <f>IF(LEN(J392)&gt;0,IF(OR(ISLOGICAL(J392),J392="TRUE"),"Yes",""),"")</f>
      </c>
      <c r="L392" s="59"/>
      <c r="M392" s="59"/>
      <c r="N392" s="62" t="str">
        <f>IF(LEN(M392)&gt;0,IF(OR(ISLOGICAL(M392),M392="TRUE"),"Yes",""),"")</f>
      </c>
      <c r="O392" s="59"/>
      <c r="P392" s="62" t="str">
        <f>IF(LEN(O392)&gt;0,IF(OR(ISLOGICAL(O392),O392="TRUE"),"Yes",""),"")</f>
      </c>
      <c r="Q392" s="62" t="s">
        <v>104</v>
      </c>
      <c r="R392" s="63"/>
    </row>
    <row r="393" spans="1:18" s="47" customFormat="1" ht="51">
      <c r="A393" s="63" t="s">
        <v>860</v>
      </c>
      <c r="B393" s="63" t="s">
        <v>96</v>
      </c>
      <c r="C393" s="63" t="s">
        <v>861</v>
      </c>
      <c r="D393" s="61"/>
      <c r="E393" s="45">
        <v>0.46</v>
      </c>
      <c r="F393" s="45">
        <v>0.46</v>
      </c>
      <c r="G393" s="66">
        <v>46082</v>
      </c>
      <c r="H393" s="45" t="str">
        <f>IF(ISNUMBER(E393),F393-E393,"N/A")</f>
        <v>N/A</v>
      </c>
      <c r="I393" s="46" t="str">
        <f>IF(E393&lt;&gt;"",IF(F393=E393,"No Change",IF(F393&gt;E393,"Increase","Decrease")),"New")</f>
        <v>Increase</v>
      </c>
      <c r="J393" s="58"/>
      <c r="K393" s="59" t="str">
        <f>IF(LEN(J393)&gt;0,IF(OR(ISLOGICAL(J393),J393="TRUE"),"Yes",""),"")</f>
      </c>
      <c r="L393" s="59"/>
      <c r="M393" s="59"/>
      <c r="N393" s="62" t="str">
        <f>IF(LEN(M393)&gt;0,IF(OR(ISLOGICAL(M393),M393="TRUE"),"Yes",""),"")</f>
      </c>
      <c r="O393" s="59"/>
      <c r="P393" s="62" t="str">
        <f>IF(LEN(O393)&gt;0,IF(OR(ISLOGICAL(O393),O393="TRUE"),"Yes",""),"")</f>
      </c>
      <c r="Q393" s="62" t="s">
        <v>104</v>
      </c>
      <c r="R393" s="63"/>
    </row>
    <row r="394" spans="1:18" s="47" customFormat="1" ht="51">
      <c r="A394" s="63" t="s">
        <v>862</v>
      </c>
      <c r="B394" s="63" t="s">
        <v>96</v>
      </c>
      <c r="C394" s="63" t="s">
        <v>863</v>
      </c>
      <c r="D394" s="61"/>
      <c r="E394" s="45">
        <v>0.61</v>
      </c>
      <c r="F394" s="45">
        <v>0.61</v>
      </c>
      <c r="G394" s="66">
        <v>46143</v>
      </c>
      <c r="H394" s="45" t="str">
        <f>IF(ISNUMBER(E394),F394-E394,"N/A")</f>
        <v>N/A</v>
      </c>
      <c r="I394" s="46" t="str">
        <f>IF(E394&lt;&gt;"",IF(F394=E394,"No Change",IF(F394&gt;E394,"Increase","Decrease")),"New")</f>
        <v>Increase</v>
      </c>
      <c r="J394" s="58"/>
      <c r="K394" s="59" t="str">
        <f>IF(LEN(J394)&gt;0,IF(OR(ISLOGICAL(J394),J394="TRUE"),"Yes",""),"")</f>
      </c>
      <c r="L394" s="59"/>
      <c r="M394" s="59"/>
      <c r="N394" s="62" t="str">
        <f>IF(LEN(M394)&gt;0,IF(OR(ISLOGICAL(M394),M394="TRUE"),"Yes",""),"")</f>
      </c>
      <c r="O394" s="59"/>
      <c r="P394" s="62" t="str">
        <f>IF(LEN(O394)&gt;0,IF(OR(ISLOGICAL(O394),O394="TRUE"),"Yes",""),"")</f>
      </c>
      <c r="Q394" s="62" t="s">
        <v>104</v>
      </c>
      <c r="R394" s="63"/>
    </row>
    <row r="395" spans="1:18" s="47" customFormat="1" ht="51">
      <c r="A395" s="63" t="s">
        <v>864</v>
      </c>
      <c r="B395" s="63" t="s">
        <v>96</v>
      </c>
      <c r="C395" s="63" t="s">
        <v>865</v>
      </c>
      <c r="D395" s="61"/>
      <c r="E395" s="45">
        <v>0.46</v>
      </c>
      <c r="F395" s="45">
        <v>0.46</v>
      </c>
      <c r="G395" s="66">
        <v>46082</v>
      </c>
      <c r="H395" s="45" t="str">
        <f>IF(ISNUMBER(E395),F395-E395,"N/A")</f>
        <v>N/A</v>
      </c>
      <c r="I395" s="46" t="str">
        <f>IF(E395&lt;&gt;"",IF(F395=E395,"No Change",IF(F395&gt;E395,"Increase","Decrease")),"New")</f>
        <v>Increase</v>
      </c>
      <c r="J395" s="58"/>
      <c r="K395" s="59" t="str">
        <f>IF(LEN(J395)&gt;0,IF(OR(ISLOGICAL(J395),J395="TRUE"),"Yes",""),"")</f>
      </c>
      <c r="L395" s="59"/>
      <c r="M395" s="59"/>
      <c r="N395" s="62" t="str">
        <f>IF(LEN(M395)&gt;0,IF(OR(ISLOGICAL(M395),M395="TRUE"),"Yes",""),"")</f>
      </c>
      <c r="O395" s="59"/>
      <c r="P395" s="62" t="str">
        <f>IF(LEN(O395)&gt;0,IF(OR(ISLOGICAL(O395),O395="TRUE"),"Yes",""),"")</f>
      </c>
      <c r="Q395" s="62" t="s">
        <v>104</v>
      </c>
      <c r="R395" s="63"/>
    </row>
    <row r="396" spans="1:18" s="47" customFormat="1" ht="51">
      <c r="A396" s="63" t="s">
        <v>866</v>
      </c>
      <c r="B396" s="63" t="s">
        <v>96</v>
      </c>
      <c r="C396" s="63" t="s">
        <v>867</v>
      </c>
      <c r="D396" s="61"/>
      <c r="E396" s="45">
        <v>0.46</v>
      </c>
      <c r="F396" s="45">
        <v>0.46</v>
      </c>
      <c r="G396" s="66">
        <v>46113</v>
      </c>
      <c r="H396" s="45" t="str">
        <f>IF(ISNUMBER(E396),F396-E396,"N/A")</f>
        <v>N/A</v>
      </c>
      <c r="I396" s="46" t="str">
        <f>IF(E396&lt;&gt;"",IF(F396=E396,"No Change",IF(F396&gt;E396,"Increase","Decrease")),"New")</f>
        <v>Increase</v>
      </c>
      <c r="J396" s="58"/>
      <c r="K396" s="59" t="str">
        <f>IF(LEN(J396)&gt;0,IF(OR(ISLOGICAL(J396),J396="TRUE"),"Yes",""),"")</f>
      </c>
      <c r="L396" s="59"/>
      <c r="M396" s="59"/>
      <c r="N396" s="62" t="str">
        <f>IF(LEN(M396)&gt;0,IF(OR(ISLOGICAL(M396),M396="TRUE"),"Yes",""),"")</f>
      </c>
      <c r="O396" s="59"/>
      <c r="P396" s="62" t="str">
        <f>IF(LEN(O396)&gt;0,IF(OR(ISLOGICAL(O396),O396="TRUE"),"Yes",""),"")</f>
      </c>
      <c r="Q396" s="62" t="s">
        <v>104</v>
      </c>
      <c r="R396" s="63"/>
    </row>
    <row r="397" spans="1:18" s="47" customFormat="1" ht="51">
      <c r="A397" s="63" t="s">
        <v>868</v>
      </c>
      <c r="B397" s="63" t="s">
        <v>96</v>
      </c>
      <c r="C397" s="63" t="s">
        <v>869</v>
      </c>
      <c r="D397" s="61"/>
      <c r="E397" s="45">
        <v>0.23</v>
      </c>
      <c r="F397" s="45">
        <v>0.23</v>
      </c>
      <c r="G397" s="66">
        <v>46143</v>
      </c>
      <c r="H397" s="45" t="str">
        <f>IF(ISNUMBER(E397),F397-E397,"N/A")</f>
        <v>N/A</v>
      </c>
      <c r="I397" s="46" t="str">
        <f>IF(E397&lt;&gt;"",IF(F397=E397,"No Change",IF(F397&gt;E397,"Increase","Decrease")),"New")</f>
        <v>Increase</v>
      </c>
      <c r="J397" s="58"/>
      <c r="K397" s="59" t="str">
        <f>IF(LEN(J397)&gt;0,IF(OR(ISLOGICAL(J397),J397="TRUE"),"Yes",""),"")</f>
      </c>
      <c r="L397" s="59"/>
      <c r="M397" s="59"/>
      <c r="N397" s="62" t="str">
        <f>IF(LEN(M397)&gt;0,IF(OR(ISLOGICAL(M397),M397="TRUE"),"Yes",""),"")</f>
      </c>
      <c r="O397" s="59"/>
      <c r="P397" s="62" t="str">
        <f>IF(LEN(O397)&gt;0,IF(OR(ISLOGICAL(O397),O397="TRUE"),"Yes",""),"")</f>
      </c>
      <c r="Q397" s="62" t="s">
        <v>98</v>
      </c>
      <c r="R397" s="63"/>
    </row>
    <row r="398" spans="1:18" s="47" customFormat="1" ht="51">
      <c r="A398" s="63" t="s">
        <v>870</v>
      </c>
      <c r="B398" s="63" t="s">
        <v>96</v>
      </c>
      <c r="C398" s="63" t="s">
        <v>871</v>
      </c>
      <c r="D398" s="61"/>
      <c r="E398" s="45">
        <v>0.23</v>
      </c>
      <c r="F398" s="45">
        <v>0.23</v>
      </c>
      <c r="G398" s="66">
        <v>46143</v>
      </c>
      <c r="H398" s="45" t="str">
        <f>IF(ISNUMBER(E398),F398-E398,"N/A")</f>
        <v>N/A</v>
      </c>
      <c r="I398" s="46" t="str">
        <f>IF(E398&lt;&gt;"",IF(F398=E398,"No Change",IF(F398&gt;E398,"Increase","Decrease")),"New")</f>
        <v>Increase</v>
      </c>
      <c r="J398" s="58"/>
      <c r="K398" s="59" t="str">
        <f>IF(LEN(J398)&gt;0,IF(OR(ISLOGICAL(J398),J398="TRUE"),"Yes",""),"")</f>
      </c>
      <c r="L398" s="59"/>
      <c r="M398" s="59"/>
      <c r="N398" s="62" t="str">
        <f>IF(LEN(M398)&gt;0,IF(OR(ISLOGICAL(M398),M398="TRUE"),"Yes",""),"")</f>
      </c>
      <c r="O398" s="59"/>
      <c r="P398" s="62" t="str">
        <f>IF(LEN(O398)&gt;0,IF(OR(ISLOGICAL(O398),O398="TRUE"),"Yes",""),"")</f>
      </c>
      <c r="Q398" s="62" t="s">
        <v>98</v>
      </c>
      <c r="R398" s="63"/>
    </row>
    <row r="399" spans="1:18" s="47" customFormat="1" ht="51">
      <c r="A399" s="63" t="s">
        <v>872</v>
      </c>
      <c r="B399" s="63" t="s">
        <v>96</v>
      </c>
      <c r="C399" s="63" t="s">
        <v>873</v>
      </c>
      <c r="D399" s="61"/>
      <c r="E399" s="45">
        <v>0.23</v>
      </c>
      <c r="F399" s="45">
        <v>0.23</v>
      </c>
      <c r="G399" s="66">
        <v>46143</v>
      </c>
      <c r="H399" s="45" t="str">
        <f>IF(ISNUMBER(E399),F399-E399,"N/A")</f>
        <v>N/A</v>
      </c>
      <c r="I399" s="46" t="str">
        <f>IF(E399&lt;&gt;"",IF(F399=E399,"No Change",IF(F399&gt;E399,"Increase","Decrease")),"New")</f>
        <v>Increase</v>
      </c>
      <c r="J399" s="58"/>
      <c r="K399" s="59" t="str">
        <f>IF(LEN(J399)&gt;0,IF(OR(ISLOGICAL(J399),J399="TRUE"),"Yes",""),"")</f>
      </c>
      <c r="L399" s="59"/>
      <c r="M399" s="59"/>
      <c r="N399" s="62" t="str">
        <f>IF(LEN(M399)&gt;0,IF(OR(ISLOGICAL(M399),M399="TRUE"),"Yes",""),"")</f>
      </c>
      <c r="O399" s="59"/>
      <c r="P399" s="62" t="str">
        <f>IF(LEN(O399)&gt;0,IF(OR(ISLOGICAL(O399),O399="TRUE"),"Yes",""),"")</f>
      </c>
      <c r="Q399" s="62" t="s">
        <v>98</v>
      </c>
      <c r="R399" s="63"/>
    </row>
    <row r="400" spans="1:18" s="47" customFormat="1" ht="51">
      <c r="A400" s="63" t="s">
        <v>874</v>
      </c>
      <c r="B400" s="63" t="s">
        <v>96</v>
      </c>
      <c r="C400" s="63" t="s">
        <v>875</v>
      </c>
      <c r="D400" s="61"/>
      <c r="E400" s="45">
        <v>0.23</v>
      </c>
      <c r="F400" s="45">
        <v>0.23</v>
      </c>
      <c r="G400" s="66">
        <v>46099</v>
      </c>
      <c r="H400" s="45" t="str">
        <f>IF(ISNUMBER(E400),F400-E400,"N/A")</f>
        <v>N/A</v>
      </c>
      <c r="I400" s="46" t="str">
        <f>IF(E400&lt;&gt;"",IF(F400=E400,"No Change",IF(F400&gt;E400,"Increase","Decrease")),"New")</f>
        <v>Increase</v>
      </c>
      <c r="J400" s="58"/>
      <c r="K400" s="59" t="str">
        <f>IF(LEN(J400)&gt;0,IF(OR(ISLOGICAL(J400),J400="TRUE"),"Yes",""),"")</f>
      </c>
      <c r="L400" s="59"/>
      <c r="M400" s="59"/>
      <c r="N400" s="62" t="str">
        <f>IF(LEN(M400)&gt;0,IF(OR(ISLOGICAL(M400),M400="TRUE"),"Yes",""),"")</f>
      </c>
      <c r="O400" s="59"/>
      <c r="P400" s="62" t="str">
        <f>IF(LEN(O400)&gt;0,IF(OR(ISLOGICAL(O400),O400="TRUE"),"Yes",""),"")</f>
      </c>
      <c r="Q400" s="62" t="s">
        <v>98</v>
      </c>
      <c r="R400" s="63"/>
    </row>
    <row r="401" spans="1:18" s="47" customFormat="1" ht="51">
      <c r="A401" s="63" t="s">
        <v>876</v>
      </c>
      <c r="B401" s="63" t="s">
        <v>96</v>
      </c>
      <c r="C401" s="63" t="s">
        <v>877</v>
      </c>
      <c r="D401" s="61"/>
      <c r="E401" s="45">
        <v>0.23</v>
      </c>
      <c r="F401" s="45">
        <v>0.23</v>
      </c>
      <c r="G401" s="66">
        <v>46099</v>
      </c>
      <c r="H401" s="45" t="str">
        <f>IF(ISNUMBER(E401),F401-E401,"N/A")</f>
        <v>N/A</v>
      </c>
      <c r="I401" s="46" t="str">
        <f>IF(E401&lt;&gt;"",IF(F401=E401,"No Change",IF(F401&gt;E401,"Increase","Decrease")),"New")</f>
        <v>Increase</v>
      </c>
      <c r="J401" s="58"/>
      <c r="K401" s="59" t="str">
        <f>IF(LEN(J401)&gt;0,IF(OR(ISLOGICAL(J401),J401="TRUE"),"Yes",""),"")</f>
      </c>
      <c r="L401" s="59"/>
      <c r="M401" s="59"/>
      <c r="N401" s="62" t="str">
        <f>IF(LEN(M401)&gt;0,IF(OR(ISLOGICAL(M401),M401="TRUE"),"Yes",""),"")</f>
      </c>
      <c r="O401" s="59"/>
      <c r="P401" s="62" t="str">
        <f>IF(LEN(O401)&gt;0,IF(OR(ISLOGICAL(O401),O401="TRUE"),"Yes",""),"")</f>
      </c>
      <c r="Q401" s="62" t="s">
        <v>98</v>
      </c>
      <c r="R401" s="63"/>
    </row>
    <row r="402" spans="1:18" s="47" customFormat="1" ht="51">
      <c r="A402" s="63" t="s">
        <v>878</v>
      </c>
      <c r="B402" s="63" t="s">
        <v>96</v>
      </c>
      <c r="C402" s="63" t="s">
        <v>879</v>
      </c>
      <c r="D402" s="61"/>
      <c r="E402" s="45">
        <v>0.23</v>
      </c>
      <c r="F402" s="45">
        <v>0.23</v>
      </c>
      <c r="G402" s="66">
        <v>46143</v>
      </c>
      <c r="H402" s="45" t="str">
        <f>IF(ISNUMBER(E402),F402-E402,"N/A")</f>
        <v>N/A</v>
      </c>
      <c r="I402" s="46" t="str">
        <f>IF(E402&lt;&gt;"",IF(F402=E402,"No Change",IF(F402&gt;E402,"Increase","Decrease")),"New")</f>
        <v>Increase</v>
      </c>
      <c r="J402" s="58"/>
      <c r="K402" s="59" t="str">
        <f>IF(LEN(J402)&gt;0,IF(OR(ISLOGICAL(J402),J402="TRUE"),"Yes",""),"")</f>
      </c>
      <c r="L402" s="59"/>
      <c r="M402" s="59"/>
      <c r="N402" s="62" t="str">
        <f>IF(LEN(M402)&gt;0,IF(OR(ISLOGICAL(M402),M402="TRUE"),"Yes",""),"")</f>
      </c>
      <c r="O402" s="59"/>
      <c r="P402" s="62" t="str">
        <f>IF(LEN(O402)&gt;0,IF(OR(ISLOGICAL(O402),O402="TRUE"),"Yes",""),"")</f>
      </c>
      <c r="Q402" s="62" t="s">
        <v>98</v>
      </c>
      <c r="R402" s="63"/>
    </row>
    <row r="403" spans="1:18" s="47" customFormat="1" ht="51">
      <c r="A403" s="63" t="s">
        <v>880</v>
      </c>
      <c r="B403" s="63" t="s">
        <v>96</v>
      </c>
      <c r="C403" s="63" t="s">
        <v>881</v>
      </c>
      <c r="D403" s="61"/>
      <c r="E403" s="45">
        <v>0.23</v>
      </c>
      <c r="F403" s="45">
        <v>0.23</v>
      </c>
      <c r="G403" s="66">
        <v>46143</v>
      </c>
      <c r="H403" s="45" t="str">
        <f>IF(ISNUMBER(E403),F403-E403,"N/A")</f>
        <v>N/A</v>
      </c>
      <c r="I403" s="46" t="str">
        <f>IF(E403&lt;&gt;"",IF(F403=E403,"No Change",IF(F403&gt;E403,"Increase","Decrease")),"New")</f>
        <v>Increase</v>
      </c>
      <c r="J403" s="58"/>
      <c r="K403" s="59" t="str">
        <f>IF(LEN(J403)&gt;0,IF(OR(ISLOGICAL(J403),J403="TRUE"),"Yes",""),"")</f>
      </c>
      <c r="L403" s="59"/>
      <c r="M403" s="59"/>
      <c r="N403" s="62" t="str">
        <f>IF(LEN(M403)&gt;0,IF(OR(ISLOGICAL(M403),M403="TRUE"),"Yes",""),"")</f>
      </c>
      <c r="O403" s="59"/>
      <c r="P403" s="62" t="str">
        <f>IF(LEN(O403)&gt;0,IF(OR(ISLOGICAL(O403),O403="TRUE"),"Yes",""),"")</f>
      </c>
      <c r="Q403" s="62" t="s">
        <v>98</v>
      </c>
      <c r="R403" s="63"/>
    </row>
    <row r="404" spans="1:18" s="47" customFormat="1" ht="51">
      <c r="A404" s="63" t="s">
        <v>882</v>
      </c>
      <c r="B404" s="63" t="s">
        <v>96</v>
      </c>
      <c r="C404" s="63" t="s">
        <v>883</v>
      </c>
      <c r="D404" s="61"/>
      <c r="E404" s="45">
        <v>0.23</v>
      </c>
      <c r="F404" s="45">
        <v>0.23</v>
      </c>
      <c r="G404" s="66">
        <v>46099</v>
      </c>
      <c r="H404" s="45" t="str">
        <f>IF(ISNUMBER(E404),F404-E404,"N/A")</f>
        <v>N/A</v>
      </c>
      <c r="I404" s="46" t="str">
        <f>IF(E404&lt;&gt;"",IF(F404=E404,"No Change",IF(F404&gt;E404,"Increase","Decrease")),"New")</f>
        <v>Increase</v>
      </c>
      <c r="J404" s="58"/>
      <c r="K404" s="59" t="str">
        <f>IF(LEN(J404)&gt;0,IF(OR(ISLOGICAL(J404),J404="TRUE"),"Yes",""),"")</f>
      </c>
      <c r="L404" s="59"/>
      <c r="M404" s="59"/>
      <c r="N404" s="62" t="str">
        <f>IF(LEN(M404)&gt;0,IF(OR(ISLOGICAL(M404),M404="TRUE"),"Yes",""),"")</f>
      </c>
      <c r="O404" s="59"/>
      <c r="P404" s="62" t="str">
        <f>IF(LEN(O404)&gt;0,IF(OR(ISLOGICAL(O404),O404="TRUE"),"Yes",""),"")</f>
      </c>
      <c r="Q404" s="62" t="s">
        <v>98</v>
      </c>
      <c r="R404" s="63"/>
    </row>
    <row r="405" spans="1:18" s="47" customFormat="1" ht="51">
      <c r="A405" s="63" t="s">
        <v>884</v>
      </c>
      <c r="B405" s="63" t="s">
        <v>96</v>
      </c>
      <c r="C405" s="63" t="s">
        <v>885</v>
      </c>
      <c r="D405" s="61"/>
      <c r="E405" s="45">
        <v>0.23</v>
      </c>
      <c r="F405" s="45">
        <v>0.23</v>
      </c>
      <c r="G405" s="66">
        <v>46099</v>
      </c>
      <c r="H405" s="45" t="str">
        <f>IF(ISNUMBER(E405),F405-E405,"N/A")</f>
        <v>N/A</v>
      </c>
      <c r="I405" s="46" t="str">
        <f>IF(E405&lt;&gt;"",IF(F405=E405,"No Change",IF(F405&gt;E405,"Increase","Decrease")),"New")</f>
        <v>Increase</v>
      </c>
      <c r="J405" s="58"/>
      <c r="K405" s="59" t="str">
        <f>IF(LEN(J405)&gt;0,IF(OR(ISLOGICAL(J405),J405="TRUE"),"Yes",""),"")</f>
      </c>
      <c r="L405" s="59"/>
      <c r="M405" s="59"/>
      <c r="N405" s="62" t="str">
        <f>IF(LEN(M405)&gt;0,IF(OR(ISLOGICAL(M405),M405="TRUE"),"Yes",""),"")</f>
      </c>
      <c r="O405" s="59"/>
      <c r="P405" s="62" t="str">
        <f>IF(LEN(O405)&gt;0,IF(OR(ISLOGICAL(O405),O405="TRUE"),"Yes",""),"")</f>
      </c>
      <c r="Q405" s="62" t="s">
        <v>98</v>
      </c>
      <c r="R405" s="63"/>
    </row>
    <row r="406" spans="1:18" s="47" customFormat="1" ht="51">
      <c r="A406" s="63" t="s">
        <v>886</v>
      </c>
      <c r="B406" s="63" t="s">
        <v>96</v>
      </c>
      <c r="C406" s="63" t="s">
        <v>887</v>
      </c>
      <c r="D406" s="61"/>
      <c r="E406" s="45">
        <v>0.18</v>
      </c>
      <c r="F406" s="45">
        <v>0.18</v>
      </c>
      <c r="G406" s="66">
        <v>46143</v>
      </c>
      <c r="H406" s="45" t="str">
        <f>IF(ISNUMBER(E406),F406-E406,"N/A")</f>
        <v>N/A</v>
      </c>
      <c r="I406" s="46" t="str">
        <f>IF(E406&lt;&gt;"",IF(F406=E406,"No Change",IF(F406&gt;E406,"Increase","Decrease")),"New")</f>
        <v>Increase</v>
      </c>
      <c r="J406" s="58"/>
      <c r="K406" s="59" t="str">
        <f>IF(LEN(J406)&gt;0,IF(OR(ISLOGICAL(J406),J406="TRUE"),"Yes",""),"")</f>
      </c>
      <c r="L406" s="59"/>
      <c r="M406" s="59"/>
      <c r="N406" s="62" t="str">
        <f>IF(LEN(M406)&gt;0,IF(OR(ISLOGICAL(M406),M406="TRUE"),"Yes",""),"")</f>
      </c>
      <c r="O406" s="59"/>
      <c r="P406" s="62" t="str">
        <f>IF(LEN(O406)&gt;0,IF(OR(ISLOGICAL(O406),O406="TRUE"),"Yes",""),"")</f>
      </c>
      <c r="Q406" s="62" t="s">
        <v>98</v>
      </c>
      <c r="R406" s="63"/>
    </row>
    <row r="407" spans="1:18" s="47" customFormat="1" ht="51">
      <c r="A407" s="63" t="s">
        <v>888</v>
      </c>
      <c r="B407" s="63" t="s">
        <v>96</v>
      </c>
      <c r="C407" s="63" t="s">
        <v>889</v>
      </c>
      <c r="D407" s="61"/>
      <c r="E407" s="45">
        <v>0.185</v>
      </c>
      <c r="F407" s="45">
        <v>0.185</v>
      </c>
      <c r="G407" s="66">
        <v>46127</v>
      </c>
      <c r="H407" s="45" t="str">
        <f>IF(ISNUMBER(E407),F407-E407,"N/A")</f>
        <v>N/A</v>
      </c>
      <c r="I407" s="46" t="str">
        <f>IF(E407&lt;&gt;"",IF(F407=E407,"No Change",IF(F407&gt;E407,"Increase","Decrease")),"New")</f>
        <v>Increase</v>
      </c>
      <c r="J407" s="58"/>
      <c r="K407" s="59" t="str">
        <f>IF(LEN(J407)&gt;0,IF(OR(ISLOGICAL(J407),J407="TRUE"),"Yes",""),"")</f>
      </c>
      <c r="L407" s="59"/>
      <c r="M407" s="59"/>
      <c r="N407" s="62" t="str">
        <f>IF(LEN(M407)&gt;0,IF(OR(ISLOGICAL(M407),M407="TRUE"),"Yes",""),"")</f>
      </c>
      <c r="O407" s="59"/>
      <c r="P407" s="62" t="str">
        <f>IF(LEN(O407)&gt;0,IF(OR(ISLOGICAL(O407),O407="TRUE"),"Yes",""),"")</f>
      </c>
      <c r="Q407" s="62" t="s">
        <v>98</v>
      </c>
      <c r="R407" s="63"/>
    </row>
    <row r="408" spans="1:18" s="47" customFormat="1" ht="51">
      <c r="A408" s="63" t="s">
        <v>890</v>
      </c>
      <c r="B408" s="63" t="s">
        <v>96</v>
      </c>
      <c r="C408" s="63" t="s">
        <v>891</v>
      </c>
      <c r="D408" s="61"/>
      <c r="E408" s="45">
        <v>0.185</v>
      </c>
      <c r="F408" s="45">
        <v>0.185</v>
      </c>
      <c r="G408" s="66">
        <v>46127</v>
      </c>
      <c r="H408" s="45" t="str">
        <f>IF(ISNUMBER(E408),F408-E408,"N/A")</f>
        <v>N/A</v>
      </c>
      <c r="I408" s="46" t="str">
        <f>IF(E408&lt;&gt;"",IF(F408=E408,"No Change",IF(F408&gt;E408,"Increase","Decrease")),"New")</f>
        <v>Increase</v>
      </c>
      <c r="J408" s="58" t="s">
        <v>122</v>
      </c>
      <c r="K408" s="59" t="str">
        <f>IF(LEN(J408)&gt;0,IF(OR(ISLOGICAL(J408),J408="TRUE"),"Yes",""),"")</f>
      </c>
      <c r="L408" s="59"/>
      <c r="M408" s="59"/>
      <c r="N408" s="62" t="str">
        <f>IF(LEN(M408)&gt;0,IF(OR(ISLOGICAL(M408),M408="TRUE"),"Yes",""),"")</f>
      </c>
      <c r="O408" s="59"/>
      <c r="P408" s="62" t="str">
        <f>IF(LEN(O408)&gt;0,IF(OR(ISLOGICAL(O408),O408="TRUE"),"Yes",""),"")</f>
      </c>
      <c r="Q408" s="62" t="s">
        <v>98</v>
      </c>
      <c r="R408" s="63"/>
    </row>
    <row r="409" spans="1:18" s="47" customFormat="1" ht="51">
      <c r="A409" s="63" t="s">
        <v>892</v>
      </c>
      <c r="B409" s="63" t="s">
        <v>96</v>
      </c>
      <c r="C409" s="63" t="s">
        <v>893</v>
      </c>
      <c r="D409" s="61"/>
      <c r="E409" s="45">
        <v>0.185</v>
      </c>
      <c r="F409" s="45">
        <v>0.185</v>
      </c>
      <c r="G409" s="66">
        <v>46127</v>
      </c>
      <c r="H409" s="45" t="str">
        <f>IF(ISNUMBER(E409),F409-E409,"N/A")</f>
        <v>N/A</v>
      </c>
      <c r="I409" s="46" t="str">
        <f>IF(E409&lt;&gt;"",IF(F409=E409,"No Change",IF(F409&gt;E409,"Increase","Decrease")),"New")</f>
        <v>Increase</v>
      </c>
      <c r="J409" s="58"/>
      <c r="K409" s="59" t="str">
        <f>IF(LEN(J409)&gt;0,IF(OR(ISLOGICAL(J409),J409="TRUE"),"Yes",""),"")</f>
      </c>
      <c r="L409" s="59"/>
      <c r="M409" s="59"/>
      <c r="N409" s="62" t="str">
        <f>IF(LEN(M409)&gt;0,IF(OR(ISLOGICAL(M409),M409="TRUE"),"Yes",""),"")</f>
      </c>
      <c r="O409" s="59"/>
      <c r="P409" s="62" t="str">
        <f>IF(LEN(O409)&gt;0,IF(OR(ISLOGICAL(O409),O409="TRUE"),"Yes",""),"")</f>
      </c>
      <c r="Q409" s="62" t="s">
        <v>98</v>
      </c>
      <c r="R409" s="63"/>
    </row>
    <row r="410" spans="1:18" s="47" customFormat="1" ht="51">
      <c r="A410" s="63" t="s">
        <v>894</v>
      </c>
      <c r="B410" s="63" t="s">
        <v>96</v>
      </c>
      <c r="C410" s="63" t="s">
        <v>895</v>
      </c>
      <c r="D410" s="61"/>
      <c r="E410" s="45">
        <v>0.185</v>
      </c>
      <c r="F410" s="45">
        <v>0.185</v>
      </c>
      <c r="G410" s="66">
        <v>46127</v>
      </c>
      <c r="H410" s="45" t="str">
        <f>IF(ISNUMBER(E410),F410-E410,"N/A")</f>
        <v>N/A</v>
      </c>
      <c r="I410" s="46" t="str">
        <f>IF(E410&lt;&gt;"",IF(F410=E410,"No Change",IF(F410&gt;E410,"Increase","Decrease")),"New")</f>
        <v>Increase</v>
      </c>
      <c r="J410" s="58" t="s">
        <v>122</v>
      </c>
      <c r="K410" s="59" t="str">
        <f>IF(LEN(J410)&gt;0,IF(OR(ISLOGICAL(J410),J410="TRUE"),"Yes",""),"")</f>
      </c>
      <c r="L410" s="59"/>
      <c r="M410" s="59"/>
      <c r="N410" s="62" t="str">
        <f>IF(LEN(M410)&gt;0,IF(OR(ISLOGICAL(M410),M410="TRUE"),"Yes",""),"")</f>
      </c>
      <c r="O410" s="59"/>
      <c r="P410" s="62" t="str">
        <f>IF(LEN(O410)&gt;0,IF(OR(ISLOGICAL(O410),O410="TRUE"),"Yes",""),"")</f>
      </c>
      <c r="Q410" s="62" t="s">
        <v>98</v>
      </c>
      <c r="R410" s="63"/>
    </row>
    <row r="411" spans="1:18" s="47" customFormat="1" ht="51">
      <c r="A411" s="63" t="s">
        <v>896</v>
      </c>
      <c r="B411" s="63" t="s">
        <v>96</v>
      </c>
      <c r="C411" s="63" t="s">
        <v>897</v>
      </c>
      <c r="D411" s="61"/>
      <c r="E411" s="45">
        <v>0.185</v>
      </c>
      <c r="F411" s="45">
        <v>0.185</v>
      </c>
      <c r="G411" s="66">
        <v>46143</v>
      </c>
      <c r="H411" s="45" t="str">
        <f>IF(ISNUMBER(E411),F411-E411,"N/A")</f>
        <v>N/A</v>
      </c>
      <c r="I411" s="46" t="str">
        <f>IF(E411&lt;&gt;"",IF(F411=E411,"No Change",IF(F411&gt;E411,"Increase","Decrease")),"New")</f>
        <v>Increase</v>
      </c>
      <c r="J411" s="58"/>
      <c r="K411" s="59" t="str">
        <f>IF(LEN(J411)&gt;0,IF(OR(ISLOGICAL(J411),J411="TRUE"),"Yes",""),"")</f>
      </c>
      <c r="L411" s="59"/>
      <c r="M411" s="59"/>
      <c r="N411" s="62" t="str">
        <f>IF(LEN(M411)&gt;0,IF(OR(ISLOGICAL(M411),M411="TRUE"),"Yes",""),"")</f>
      </c>
      <c r="O411" s="59"/>
      <c r="P411" s="62" t="str">
        <f>IF(LEN(O411)&gt;0,IF(OR(ISLOGICAL(O411),O411="TRUE"),"Yes",""),"")</f>
      </c>
      <c r="Q411" s="62" t="s">
        <v>98</v>
      </c>
      <c r="R411" s="63"/>
    </row>
    <row r="412" spans="1:18" s="47" customFormat="1" ht="51">
      <c r="A412" s="63" t="s">
        <v>898</v>
      </c>
      <c r="B412" s="63" t="s">
        <v>96</v>
      </c>
      <c r="C412" s="63" t="s">
        <v>899</v>
      </c>
      <c r="D412" s="61"/>
      <c r="E412" s="45">
        <v>0.185</v>
      </c>
      <c r="F412" s="45">
        <v>0.185</v>
      </c>
      <c r="G412" s="66">
        <v>46127</v>
      </c>
      <c r="H412" s="45" t="str">
        <f>IF(ISNUMBER(E412),F412-E412,"N/A")</f>
        <v>N/A</v>
      </c>
      <c r="I412" s="46" t="str">
        <f>IF(E412&lt;&gt;"",IF(F412=E412,"No Change",IF(F412&gt;E412,"Increase","Decrease")),"New")</f>
        <v>Increase</v>
      </c>
      <c r="J412" s="58" t="s">
        <v>122</v>
      </c>
      <c r="K412" s="59" t="str">
        <f>IF(LEN(J412)&gt;0,IF(OR(ISLOGICAL(J412),J412="TRUE"),"Yes",""),"")</f>
      </c>
      <c r="L412" s="59"/>
      <c r="M412" s="59"/>
      <c r="N412" s="62" t="str">
        <f>IF(LEN(M412)&gt;0,IF(OR(ISLOGICAL(M412),M412="TRUE"),"Yes",""),"")</f>
      </c>
      <c r="O412" s="59"/>
      <c r="P412" s="62" t="str">
        <f>IF(LEN(O412)&gt;0,IF(OR(ISLOGICAL(O412),O412="TRUE"),"Yes",""),"")</f>
      </c>
      <c r="Q412" s="62" t="s">
        <v>98</v>
      </c>
      <c r="R412" s="63"/>
    </row>
    <row r="413" spans="1:18" s="47" customFormat="1" ht="51">
      <c r="A413" s="63" t="s">
        <v>900</v>
      </c>
      <c r="B413" s="63" t="s">
        <v>96</v>
      </c>
      <c r="C413" s="63" t="s">
        <v>901</v>
      </c>
      <c r="D413" s="61"/>
      <c r="E413" s="45">
        <v>0.185</v>
      </c>
      <c r="F413" s="45">
        <v>0.185</v>
      </c>
      <c r="G413" s="66">
        <v>46127</v>
      </c>
      <c r="H413" s="45" t="str">
        <f>IF(ISNUMBER(E413),F413-E413,"N/A")</f>
        <v>N/A</v>
      </c>
      <c r="I413" s="46" t="str">
        <f>IF(E413&lt;&gt;"",IF(F413=E413,"No Change",IF(F413&gt;E413,"Increase","Decrease")),"New")</f>
        <v>Increase</v>
      </c>
      <c r="J413" s="58" t="s">
        <v>122</v>
      </c>
      <c r="K413" s="59" t="str">
        <f>IF(LEN(J413)&gt;0,IF(OR(ISLOGICAL(J413),J413="TRUE"),"Yes",""),"")</f>
      </c>
      <c r="L413" s="59"/>
      <c r="M413" s="59"/>
      <c r="N413" s="62" t="str">
        <f>IF(LEN(M413)&gt;0,IF(OR(ISLOGICAL(M413),M413="TRUE"),"Yes",""),"")</f>
      </c>
      <c r="O413" s="59"/>
      <c r="P413" s="62" t="str">
        <f>IF(LEN(O413)&gt;0,IF(OR(ISLOGICAL(O413),O413="TRUE"),"Yes",""),"")</f>
      </c>
      <c r="Q413" s="62" t="s">
        <v>98</v>
      </c>
      <c r="R413" s="63"/>
    </row>
    <row r="414" spans="1:18" s="47" customFormat="1" ht="51">
      <c r="A414" s="63" t="s">
        <v>902</v>
      </c>
      <c r="B414" s="63" t="s">
        <v>96</v>
      </c>
      <c r="C414" s="63" t="s">
        <v>903</v>
      </c>
      <c r="D414" s="61"/>
      <c r="E414" s="45">
        <v>0.185</v>
      </c>
      <c r="F414" s="45">
        <v>0.185</v>
      </c>
      <c r="G414" s="66">
        <v>46127</v>
      </c>
      <c r="H414" s="45" t="str">
        <f>IF(ISNUMBER(E414),F414-E414,"N/A")</f>
        <v>N/A</v>
      </c>
      <c r="I414" s="46" t="str">
        <f>IF(E414&lt;&gt;"",IF(F414=E414,"No Change",IF(F414&gt;E414,"Increase","Decrease")),"New")</f>
        <v>Increase</v>
      </c>
      <c r="J414" s="58"/>
      <c r="K414" s="59" t="str">
        <f>IF(LEN(J414)&gt;0,IF(OR(ISLOGICAL(J414),J414="TRUE"),"Yes",""),"")</f>
      </c>
      <c r="L414" s="59"/>
      <c r="M414" s="59"/>
      <c r="N414" s="62" t="str">
        <f>IF(LEN(M414)&gt;0,IF(OR(ISLOGICAL(M414),M414="TRUE"),"Yes",""),"")</f>
      </c>
      <c r="O414" s="59"/>
      <c r="P414" s="62" t="str">
        <f>IF(LEN(O414)&gt;0,IF(OR(ISLOGICAL(O414),O414="TRUE"),"Yes",""),"")</f>
      </c>
      <c r="Q414" s="62" t="s">
        <v>98</v>
      </c>
      <c r="R414" s="63"/>
    </row>
    <row r="415" spans="1:18" s="47" customFormat="1" ht="51">
      <c r="A415" s="63" t="s">
        <v>904</v>
      </c>
      <c r="B415" s="63" t="s">
        <v>96</v>
      </c>
      <c r="C415" s="63" t="s">
        <v>905</v>
      </c>
      <c r="D415" s="61"/>
      <c r="E415" s="45">
        <v>0.185</v>
      </c>
      <c r="F415" s="45">
        <v>0.185</v>
      </c>
      <c r="G415" s="66">
        <v>46127</v>
      </c>
      <c r="H415" s="45" t="str">
        <f>IF(ISNUMBER(E415),F415-E415,"N/A")</f>
        <v>N/A</v>
      </c>
      <c r="I415" s="46" t="str">
        <f>IF(E415&lt;&gt;"",IF(F415=E415,"No Change",IF(F415&gt;E415,"Increase","Decrease")),"New")</f>
        <v>Increase</v>
      </c>
      <c r="J415" s="58"/>
      <c r="K415" s="59" t="str">
        <f>IF(LEN(J415)&gt;0,IF(OR(ISLOGICAL(J415),J415="TRUE"),"Yes",""),"")</f>
      </c>
      <c r="L415" s="59"/>
      <c r="M415" s="59"/>
      <c r="N415" s="62" t="str">
        <f>IF(LEN(M415)&gt;0,IF(OR(ISLOGICAL(M415),M415="TRUE"),"Yes",""),"")</f>
      </c>
      <c r="O415" s="59"/>
      <c r="P415" s="62" t="str">
        <f>IF(LEN(O415)&gt;0,IF(OR(ISLOGICAL(O415),O415="TRUE"),"Yes",""),"")</f>
      </c>
      <c r="Q415" s="62" t="s">
        <v>98</v>
      </c>
      <c r="R415" s="63"/>
    </row>
    <row r="416" spans="1:18" s="47" customFormat="1" ht="51">
      <c r="A416" s="63" t="s">
        <v>906</v>
      </c>
      <c r="B416" s="63" t="s">
        <v>96</v>
      </c>
      <c r="C416" s="63" t="s">
        <v>907</v>
      </c>
      <c r="D416" s="61"/>
      <c r="E416" s="45">
        <v>0.185</v>
      </c>
      <c r="F416" s="45">
        <v>0.185</v>
      </c>
      <c r="G416" s="66">
        <v>46127</v>
      </c>
      <c r="H416" s="45" t="str">
        <f>IF(ISNUMBER(E416),F416-E416,"N/A")</f>
        <v>N/A</v>
      </c>
      <c r="I416" s="46" t="str">
        <f>IF(E416&lt;&gt;"",IF(F416=E416,"No Change",IF(F416&gt;E416,"Increase","Decrease")),"New")</f>
        <v>Increase</v>
      </c>
      <c r="J416" s="58"/>
      <c r="K416" s="59" t="str">
        <f>IF(LEN(J416)&gt;0,IF(OR(ISLOGICAL(J416),J416="TRUE"),"Yes",""),"")</f>
      </c>
      <c r="L416" s="59"/>
      <c r="M416" s="59"/>
      <c r="N416" s="62" t="str">
        <f>IF(LEN(M416)&gt;0,IF(OR(ISLOGICAL(M416),M416="TRUE"),"Yes",""),"")</f>
      </c>
      <c r="O416" s="59"/>
      <c r="P416" s="62" t="str">
        <f>IF(LEN(O416)&gt;0,IF(OR(ISLOGICAL(O416),O416="TRUE"),"Yes",""),"")</f>
      </c>
      <c r="Q416" s="62" t="s">
        <v>98</v>
      </c>
      <c r="R416" s="63"/>
    </row>
    <row r="417" spans="1:18" s="47" customFormat="1" ht="51">
      <c r="A417" s="63" t="s">
        <v>908</v>
      </c>
      <c r="B417" s="63" t="s">
        <v>96</v>
      </c>
      <c r="C417" s="63" t="s">
        <v>909</v>
      </c>
      <c r="D417" s="61"/>
      <c r="E417" s="45">
        <v>0.2</v>
      </c>
      <c r="F417" s="45">
        <v>0.2</v>
      </c>
      <c r="G417" s="66">
        <v>46085</v>
      </c>
      <c r="H417" s="45" t="str">
        <f>IF(ISNUMBER(E417),F417-E417,"N/A")</f>
        <v>N/A</v>
      </c>
      <c r="I417" s="46" t="str">
        <f>IF(E417&lt;&gt;"",IF(F417=E417,"No Change",IF(F417&gt;E417,"Increase","Decrease")),"New")</f>
        <v>Increase</v>
      </c>
      <c r="J417" s="58"/>
      <c r="K417" s="59" t="str">
        <f>IF(LEN(J417)&gt;0,IF(OR(ISLOGICAL(J417),J417="TRUE"),"Yes",""),"")</f>
      </c>
      <c r="L417" s="59"/>
      <c r="M417" s="59"/>
      <c r="N417" s="62" t="str">
        <f>IF(LEN(M417)&gt;0,IF(OR(ISLOGICAL(M417),M417="TRUE"),"Yes",""),"")</f>
      </c>
      <c r="O417" s="59"/>
      <c r="P417" s="62" t="str">
        <f>IF(LEN(O417)&gt;0,IF(OR(ISLOGICAL(O417),O417="TRUE"),"Yes",""),"")</f>
      </c>
      <c r="Q417" s="62" t="s">
        <v>109</v>
      </c>
      <c r="R417" s="63"/>
    </row>
    <row r="418" spans="1:18" s="47" customFormat="1" ht="51">
      <c r="A418" s="63" t="s">
        <v>910</v>
      </c>
      <c r="B418" s="63" t="s">
        <v>96</v>
      </c>
      <c r="C418" s="63" t="s">
        <v>911</v>
      </c>
      <c r="D418" s="61"/>
      <c r="E418" s="45">
        <v>0.2</v>
      </c>
      <c r="F418" s="45">
        <v>0.2</v>
      </c>
      <c r="G418" s="66">
        <v>46078</v>
      </c>
      <c r="H418" s="45" t="str">
        <f>IF(ISNUMBER(E418),F418-E418,"N/A")</f>
        <v>N/A</v>
      </c>
      <c r="I418" s="46" t="str">
        <f>IF(E418&lt;&gt;"",IF(F418=E418,"No Change",IF(F418&gt;E418,"Increase","Decrease")),"New")</f>
        <v>Increase</v>
      </c>
      <c r="J418" s="58" t="s">
        <v>122</v>
      </c>
      <c r="K418" s="59" t="str">
        <f>IF(LEN(J418)&gt;0,IF(OR(ISLOGICAL(J418),J418="TRUE"),"Yes",""),"")</f>
      </c>
      <c r="L418" s="59"/>
      <c r="M418" s="59"/>
      <c r="N418" s="62" t="str">
        <f>IF(LEN(M418)&gt;0,IF(OR(ISLOGICAL(M418),M418="TRUE"),"Yes",""),"")</f>
      </c>
      <c r="O418" s="59"/>
      <c r="P418" s="62" t="str">
        <f>IF(LEN(O418)&gt;0,IF(OR(ISLOGICAL(O418),O418="TRUE"),"Yes",""),"")</f>
      </c>
      <c r="Q418" s="62" t="s">
        <v>98</v>
      </c>
      <c r="R418" s="63"/>
    </row>
    <row r="419" spans="1:18" s="47" customFormat="1" ht="51">
      <c r="A419" s="63" t="s">
        <v>912</v>
      </c>
      <c r="B419" s="63" t="s">
        <v>96</v>
      </c>
      <c r="C419" s="63" t="s">
        <v>913</v>
      </c>
      <c r="D419" s="61"/>
      <c r="E419" s="45">
        <v>0.2</v>
      </c>
      <c r="F419" s="45">
        <v>0.2</v>
      </c>
      <c r="G419" s="66">
        <v>46082</v>
      </c>
      <c r="H419" s="45" t="str">
        <f>IF(ISNUMBER(E419),F419-E419,"N/A")</f>
        <v>N/A</v>
      </c>
      <c r="I419" s="46" t="str">
        <f>IF(E419&lt;&gt;"",IF(F419=E419,"No Change",IF(F419&gt;E419,"Increase","Decrease")),"New")</f>
        <v>Increase</v>
      </c>
      <c r="J419" s="58"/>
      <c r="K419" s="59" t="str">
        <f>IF(LEN(J419)&gt;0,IF(OR(ISLOGICAL(J419),J419="TRUE"),"Yes",""),"")</f>
      </c>
      <c r="L419" s="59"/>
      <c r="M419" s="59"/>
      <c r="N419" s="62" t="str">
        <f>IF(LEN(M419)&gt;0,IF(OR(ISLOGICAL(M419),M419="TRUE"),"Yes",""),"")</f>
      </c>
      <c r="O419" s="59"/>
      <c r="P419" s="62" t="str">
        <f>IF(LEN(O419)&gt;0,IF(OR(ISLOGICAL(O419),O419="TRUE"),"Yes",""),"")</f>
      </c>
      <c r="Q419" s="62" t="s">
        <v>98</v>
      </c>
      <c r="R419" s="63"/>
    </row>
    <row r="420" spans="1:18" s="47" customFormat="1" ht="51">
      <c r="A420" s="63" t="s">
        <v>914</v>
      </c>
      <c r="B420" s="63" t="s">
        <v>96</v>
      </c>
      <c r="C420" s="63" t="s">
        <v>915</v>
      </c>
      <c r="D420" s="61"/>
      <c r="E420" s="45">
        <v>0.1515</v>
      </c>
      <c r="F420" s="45">
        <v>0.1515</v>
      </c>
      <c r="G420" s="66">
        <v>46143</v>
      </c>
      <c r="H420" s="45" t="str">
        <f>IF(ISNUMBER(E420),F420-E420,"N/A")</f>
        <v>N/A</v>
      </c>
      <c r="I420" s="46" t="str">
        <f>IF(E420&lt;&gt;"",IF(F420=E420,"No Change",IF(F420&gt;E420,"Increase","Decrease")),"New")</f>
        <v>Increase</v>
      </c>
      <c r="J420" s="58" t="s">
        <v>122</v>
      </c>
      <c r="K420" s="59" t="str">
        <f>IF(LEN(J420)&gt;0,IF(OR(ISLOGICAL(J420),J420="TRUE"),"Yes",""),"")</f>
      </c>
      <c r="L420" s="59"/>
      <c r="M420" s="59"/>
      <c r="N420" s="62" t="str">
        <f>IF(LEN(M420)&gt;0,IF(OR(ISLOGICAL(M420),M420="TRUE"),"Yes",""),"")</f>
      </c>
      <c r="O420" s="59"/>
      <c r="P420" s="62" t="str">
        <f>IF(LEN(O420)&gt;0,IF(OR(ISLOGICAL(O420),O420="TRUE"),"Yes",""),"")</f>
      </c>
      <c r="Q420" s="62" t="s">
        <v>109</v>
      </c>
      <c r="R420" s="63"/>
    </row>
    <row r="421" spans="1:18" s="47" customFormat="1" ht="51">
      <c r="A421" s="63" t="s">
        <v>916</v>
      </c>
      <c r="B421" s="63" t="s">
        <v>96</v>
      </c>
      <c r="C421" s="63" t="s">
        <v>917</v>
      </c>
      <c r="D421" s="61"/>
      <c r="E421" s="45">
        <v>0.2</v>
      </c>
      <c r="F421" s="45">
        <v>0.2</v>
      </c>
      <c r="G421" s="66">
        <v>45839</v>
      </c>
      <c r="H421" s="45" t="str">
        <f>IF(ISNUMBER(E421),F421-E421,"N/A")</f>
        <v>N/A</v>
      </c>
      <c r="I421" s="46" t="str">
        <f>IF(E421&lt;&gt;"",IF(F421=E421,"No Change",IF(F421&gt;E421,"Increase","Decrease")),"New")</f>
        <v>Increase</v>
      </c>
      <c r="J421" s="58" t="s">
        <v>122</v>
      </c>
      <c r="K421" s="59" t="str">
        <f>IF(LEN(J421)&gt;0,IF(OR(ISLOGICAL(J421),J421="TRUE"),"Yes",""),"")</f>
      </c>
      <c r="L421" s="59"/>
      <c r="M421" s="59"/>
      <c r="N421" s="62" t="str">
        <f>IF(LEN(M421)&gt;0,IF(OR(ISLOGICAL(M421),M421="TRUE"),"Yes",""),"")</f>
      </c>
      <c r="O421" s="59"/>
      <c r="P421" s="62" t="str">
        <f>IF(LEN(O421)&gt;0,IF(OR(ISLOGICAL(O421),O421="TRUE"),"Yes",""),"")</f>
      </c>
      <c r="Q421" s="62" t="s">
        <v>98</v>
      </c>
      <c r="R421" s="63"/>
    </row>
    <row r="422" spans="1:18" s="47" customFormat="1" ht="51">
      <c r="A422" s="63" t="s">
        <v>918</v>
      </c>
      <c r="B422" s="63" t="s">
        <v>96</v>
      </c>
      <c r="C422" s="63" t="s">
        <v>919</v>
      </c>
      <c r="D422" s="61"/>
      <c r="E422" s="45">
        <v>0.2</v>
      </c>
      <c r="F422" s="45">
        <v>0.2</v>
      </c>
      <c r="G422" s="66">
        <v>46078</v>
      </c>
      <c r="H422" s="45" t="str">
        <f>IF(ISNUMBER(E422),F422-E422,"N/A")</f>
        <v>N/A</v>
      </c>
      <c r="I422" s="46" t="str">
        <f>IF(E422&lt;&gt;"",IF(F422=E422,"No Change",IF(F422&gt;E422,"Increase","Decrease")),"New")</f>
        <v>Increase</v>
      </c>
      <c r="J422" s="58"/>
      <c r="K422" s="59" t="str">
        <f>IF(LEN(J422)&gt;0,IF(OR(ISLOGICAL(J422),J422="TRUE"),"Yes",""),"")</f>
      </c>
      <c r="L422" s="59"/>
      <c r="M422" s="59"/>
      <c r="N422" s="62" t="str">
        <f>IF(LEN(M422)&gt;0,IF(OR(ISLOGICAL(M422),M422="TRUE"),"Yes",""),"")</f>
      </c>
      <c r="O422" s="59"/>
      <c r="P422" s="62" t="str">
        <f>IF(LEN(O422)&gt;0,IF(OR(ISLOGICAL(O422),O422="TRUE"),"Yes",""),"")</f>
      </c>
      <c r="Q422" s="62" t="s">
        <v>98</v>
      </c>
      <c r="R422" s="63"/>
    </row>
    <row r="423" spans="1:18" s="47" customFormat="1" ht="51">
      <c r="A423" s="63" t="s">
        <v>920</v>
      </c>
      <c r="B423" s="63" t="s">
        <v>96</v>
      </c>
      <c r="C423" s="63" t="s">
        <v>921</v>
      </c>
      <c r="D423" s="61"/>
      <c r="E423" s="45">
        <v>0.0375</v>
      </c>
      <c r="F423" s="45">
        <v>0.0375</v>
      </c>
      <c r="G423" s="66">
        <v>46143</v>
      </c>
      <c r="H423" s="45" t="str">
        <f>IF(ISNUMBER(E423),F423-E423,"N/A")</f>
        <v>N/A</v>
      </c>
      <c r="I423" s="46" t="str">
        <f>IF(E423&lt;&gt;"",IF(F423=E423,"No Change",IF(F423&gt;E423,"Increase","Decrease")),"New")</f>
        <v>Increase</v>
      </c>
      <c r="J423" s="58"/>
      <c r="K423" s="59" t="str">
        <f>IF(LEN(J423)&gt;0,IF(OR(ISLOGICAL(J423),J423="TRUE"),"Yes",""),"")</f>
      </c>
      <c r="L423" s="59"/>
      <c r="M423" s="59"/>
      <c r="N423" s="62" t="str">
        <f>IF(LEN(M423)&gt;0,IF(OR(ISLOGICAL(M423),M423="TRUE"),"Yes",""),"")</f>
      </c>
      <c r="O423" s="59"/>
      <c r="P423" s="62" t="str">
        <f>IF(LEN(O423)&gt;0,IF(OR(ISLOGICAL(O423),O423="TRUE"),"Yes",""),"")</f>
      </c>
      <c r="Q423" s="62" t="s">
        <v>98</v>
      </c>
      <c r="R423" s="63"/>
    </row>
    <row r="424" spans="1:18" s="47" customFormat="1" ht="51">
      <c r="A424" s="63" t="s">
        <v>922</v>
      </c>
      <c r="B424" s="63" t="s">
        <v>96</v>
      </c>
      <c r="C424" s="63" t="s">
        <v>923</v>
      </c>
      <c r="D424" s="61"/>
      <c r="E424" s="45">
        <v>0.118</v>
      </c>
      <c r="F424" s="45">
        <v>0.118</v>
      </c>
      <c r="G424" s="66">
        <v>46085</v>
      </c>
      <c r="H424" s="45" t="str">
        <f>IF(ISNUMBER(E424),F424-E424,"N/A")</f>
        <v>N/A</v>
      </c>
      <c r="I424" s="46" t="str">
        <f>IF(E424&lt;&gt;"",IF(F424=E424,"No Change",IF(F424&gt;E424,"Increase","Decrease")),"New")</f>
        <v>Increase</v>
      </c>
      <c r="J424" s="58" t="s">
        <v>122</v>
      </c>
      <c r="K424" s="59" t="str">
        <f>IF(LEN(J424)&gt;0,IF(OR(ISLOGICAL(J424),J424="TRUE"),"Yes",""),"")</f>
      </c>
      <c r="L424" s="59"/>
      <c r="M424" s="59"/>
      <c r="N424" s="62" t="str">
        <f>IF(LEN(M424)&gt;0,IF(OR(ISLOGICAL(M424),M424="TRUE"),"Yes",""),"")</f>
      </c>
      <c r="O424" s="59"/>
      <c r="P424" s="62" t="str">
        <f>IF(LEN(O424)&gt;0,IF(OR(ISLOGICAL(O424),O424="TRUE"),"Yes",""),"")</f>
      </c>
      <c r="Q424" s="62" t="s">
        <v>98</v>
      </c>
      <c r="R424" s="63"/>
    </row>
    <row r="425" spans="1:18" s="47" customFormat="1" ht="51">
      <c r="A425" s="63" t="s">
        <v>924</v>
      </c>
      <c r="B425" s="63" t="s">
        <v>96</v>
      </c>
      <c r="C425" s="63" t="s">
        <v>925</v>
      </c>
      <c r="D425" s="61"/>
      <c r="E425" s="45">
        <v>1.34</v>
      </c>
      <c r="F425" s="45">
        <v>1.34</v>
      </c>
      <c r="G425" s="66">
        <v>46023</v>
      </c>
      <c r="H425" s="45" t="str">
        <f>IF(ISNUMBER(E425),F425-E425,"N/A")</f>
        <v>N/A</v>
      </c>
      <c r="I425" s="46" t="str">
        <f>IF(E425&lt;&gt;"",IF(F425=E425,"No Change",IF(F425&gt;E425,"Increase","Decrease")),"New")</f>
        <v>Increase</v>
      </c>
      <c r="J425" s="58"/>
      <c r="K425" s="59" t="str">
        <f>IF(LEN(J425)&gt;0,IF(OR(ISLOGICAL(J425),J425="TRUE"),"Yes",""),"")</f>
      </c>
      <c r="L425" s="59"/>
      <c r="M425" s="59"/>
      <c r="N425" s="62" t="str">
        <f>IF(LEN(M425)&gt;0,IF(OR(ISLOGICAL(M425),M425="TRUE"),"Yes",""),"")</f>
      </c>
      <c r="O425" s="59"/>
      <c r="P425" s="62" t="str">
        <f>IF(LEN(O425)&gt;0,IF(OR(ISLOGICAL(O425),O425="TRUE"),"Yes",""),"")</f>
      </c>
      <c r="Q425" s="62" t="s">
        <v>98</v>
      </c>
      <c r="R425" s="63"/>
    </row>
    <row r="426" spans="1:18" s="47" customFormat="1" ht="51">
      <c r="A426" s="63" t="s">
        <v>926</v>
      </c>
      <c r="B426" s="63" t="s">
        <v>96</v>
      </c>
      <c r="C426" s="63" t="s">
        <v>927</v>
      </c>
      <c r="D426" s="61"/>
      <c r="E426" s="45">
        <v>10</v>
      </c>
      <c r="F426" s="45">
        <v>10</v>
      </c>
      <c r="G426" s="66">
        <v>46141</v>
      </c>
      <c r="H426" s="45" t="str">
        <f>IF(ISNUMBER(E426),F426-E426,"N/A")</f>
        <v>N/A</v>
      </c>
      <c r="I426" s="46" t="str">
        <f>IF(E426&lt;&gt;"",IF(F426=E426,"No Change",IF(F426&gt;E426,"Increase","Decrease")),"New")</f>
        <v>Increase</v>
      </c>
      <c r="J426" s="58"/>
      <c r="K426" s="59" t="str">
        <f>IF(LEN(J426)&gt;0,IF(OR(ISLOGICAL(J426),J426="TRUE"),"Yes",""),"")</f>
      </c>
      <c r="L426" s="59"/>
      <c r="M426" s="59"/>
      <c r="N426" s="62" t="str">
        <f>IF(LEN(M426)&gt;0,IF(OR(ISLOGICAL(M426),M426="TRUE"),"Yes",""),"")</f>
      </c>
      <c r="O426" s="59"/>
      <c r="P426" s="62" t="str">
        <f>IF(LEN(O426)&gt;0,IF(OR(ISLOGICAL(O426),O426="TRUE"),"Yes",""),"")</f>
      </c>
      <c r="Q426" s="62" t="s">
        <v>109</v>
      </c>
      <c r="R426" s="63"/>
    </row>
    <row r="427" spans="1:18" s="47" customFormat="1" ht="51">
      <c r="A427" s="63" t="s">
        <v>928</v>
      </c>
      <c r="B427" s="63" t="s">
        <v>96</v>
      </c>
      <c r="C427" s="63" t="s">
        <v>929</v>
      </c>
      <c r="D427" s="61"/>
      <c r="E427" s="45">
        <v>0.02</v>
      </c>
      <c r="F427" s="45">
        <v>0.02</v>
      </c>
      <c r="G427" s="66">
        <v>46143</v>
      </c>
      <c r="H427" s="45" t="str">
        <f>IF(ISNUMBER(E427),F427-E427,"N/A")</f>
        <v>N/A</v>
      </c>
      <c r="I427" s="46" t="str">
        <f>IF(E427&lt;&gt;"",IF(F427=E427,"No Change",IF(F427&gt;E427,"Increase","Decrease")),"New")</f>
        <v>Increase</v>
      </c>
      <c r="J427" s="58"/>
      <c r="K427" s="59" t="str">
        <f>IF(LEN(J427)&gt;0,IF(OR(ISLOGICAL(J427),J427="TRUE"),"Yes",""),"")</f>
      </c>
      <c r="L427" s="59"/>
      <c r="M427" s="59"/>
      <c r="N427" s="62" t="str">
        <f>IF(LEN(M427)&gt;0,IF(OR(ISLOGICAL(M427),M427="TRUE"),"Yes",""),"")</f>
      </c>
      <c r="O427" s="59"/>
      <c r="P427" s="62" t="str">
        <f>IF(LEN(O427)&gt;0,IF(OR(ISLOGICAL(O427),O427="TRUE"),"Yes",""),"")</f>
      </c>
      <c r="Q427" s="62" t="s">
        <v>109</v>
      </c>
      <c r="R427" s="63"/>
    </row>
    <row r="428" spans="1:18" s="47" customFormat="1" ht="51">
      <c r="A428" s="63" t="s">
        <v>930</v>
      </c>
      <c r="B428" s="63" t="s">
        <v>96</v>
      </c>
      <c r="C428" s="63" t="s">
        <v>931</v>
      </c>
      <c r="D428" s="61"/>
      <c r="E428" s="45">
        <v>10</v>
      </c>
      <c r="F428" s="45">
        <v>10</v>
      </c>
      <c r="G428" s="66">
        <v>46082</v>
      </c>
      <c r="H428" s="45" t="str">
        <f>IF(ISNUMBER(E428),F428-E428,"N/A")</f>
        <v>N/A</v>
      </c>
      <c r="I428" s="46" t="str">
        <f>IF(E428&lt;&gt;"",IF(F428=E428,"No Change",IF(F428&gt;E428,"Increase","Decrease")),"New")</f>
        <v>Increase</v>
      </c>
      <c r="J428" s="58"/>
      <c r="K428" s="59" t="str">
        <f>IF(LEN(J428)&gt;0,IF(OR(ISLOGICAL(J428),J428="TRUE"),"Yes",""),"")</f>
      </c>
      <c r="L428" s="59"/>
      <c r="M428" s="59"/>
      <c r="N428" s="62" t="str">
        <f>IF(LEN(M428)&gt;0,IF(OR(ISLOGICAL(M428),M428="TRUE"),"Yes",""),"")</f>
      </c>
      <c r="O428" s="59"/>
      <c r="P428" s="62" t="str">
        <f>IF(LEN(O428)&gt;0,IF(OR(ISLOGICAL(O428),O428="TRUE"),"Yes",""),"")</f>
      </c>
      <c r="Q428" s="62" t="s">
        <v>109</v>
      </c>
      <c r="R428" s="63"/>
    </row>
    <row r="429" spans="1:18" s="47" customFormat="1" ht="51">
      <c r="A429" s="63" t="s">
        <v>932</v>
      </c>
      <c r="B429" s="63" t="s">
        <v>96</v>
      </c>
      <c r="C429" s="63" t="s">
        <v>933</v>
      </c>
      <c r="D429" s="61"/>
      <c r="E429" s="45">
        <v>10</v>
      </c>
      <c r="F429" s="45">
        <v>10</v>
      </c>
      <c r="G429" s="66">
        <v>46082</v>
      </c>
      <c r="H429" s="45" t="str">
        <f>IF(ISNUMBER(E429),F429-E429,"N/A")</f>
        <v>N/A</v>
      </c>
      <c r="I429" s="46" t="str">
        <f>IF(E429&lt;&gt;"",IF(F429=E429,"No Change",IF(F429&gt;E429,"Increase","Decrease")),"New")</f>
        <v>Increase</v>
      </c>
      <c r="J429" s="58"/>
      <c r="K429" s="59" t="str">
        <f>IF(LEN(J429)&gt;0,IF(OR(ISLOGICAL(J429),J429="TRUE"),"Yes",""),"")</f>
      </c>
      <c r="L429" s="59"/>
      <c r="M429" s="59"/>
      <c r="N429" s="62" t="str">
        <f>IF(LEN(M429)&gt;0,IF(OR(ISLOGICAL(M429),M429="TRUE"),"Yes",""),"")</f>
      </c>
      <c r="O429" s="59"/>
      <c r="P429" s="62" t="str">
        <f>IF(LEN(O429)&gt;0,IF(OR(ISLOGICAL(O429),O429="TRUE"),"Yes",""),"")</f>
      </c>
      <c r="Q429" s="62" t="s">
        <v>109</v>
      </c>
      <c r="R429" s="63"/>
    </row>
    <row r="430" spans="1:18" s="47" customFormat="1" ht="51">
      <c r="A430" s="63" t="s">
        <v>934</v>
      </c>
      <c r="B430" s="63" t="s">
        <v>96</v>
      </c>
      <c r="C430" s="63" t="s">
        <v>935</v>
      </c>
      <c r="D430" s="61"/>
      <c r="E430" s="45">
        <v>0.02</v>
      </c>
      <c r="F430" s="45">
        <v>0.02</v>
      </c>
      <c r="G430" s="66">
        <v>46092</v>
      </c>
      <c r="H430" s="45" t="str">
        <f>IF(ISNUMBER(E430),F430-E430,"N/A")</f>
        <v>N/A</v>
      </c>
      <c r="I430" s="46" t="str">
        <f>IF(E430&lt;&gt;"",IF(F430=E430,"No Change",IF(F430&gt;E430,"Increase","Decrease")),"New")</f>
        <v>Increase</v>
      </c>
      <c r="J430" s="58"/>
      <c r="K430" s="59" t="str">
        <f>IF(LEN(J430)&gt;0,IF(OR(ISLOGICAL(J430),J430="TRUE"),"Yes",""),"")</f>
      </c>
      <c r="L430" s="59"/>
      <c r="M430" s="59"/>
      <c r="N430" s="62" t="str">
        <f>IF(LEN(M430)&gt;0,IF(OR(ISLOGICAL(M430),M430="TRUE"),"Yes",""),"")</f>
      </c>
      <c r="O430" s="59"/>
      <c r="P430" s="62" t="str">
        <f>IF(LEN(O430)&gt;0,IF(OR(ISLOGICAL(O430),O430="TRUE"),"Yes",""),"")</f>
      </c>
      <c r="Q430" s="62" t="s">
        <v>109</v>
      </c>
      <c r="R430" s="63"/>
    </row>
    <row r="431" spans="1:18" s="47" customFormat="1" ht="51">
      <c r="A431" s="63" t="s">
        <v>936</v>
      </c>
      <c r="B431" s="63" t="s">
        <v>96</v>
      </c>
      <c r="C431" s="63" t="s">
        <v>937</v>
      </c>
      <c r="D431" s="61"/>
      <c r="E431" s="45">
        <v>2.5201</v>
      </c>
      <c r="F431" s="45">
        <v>2.5201</v>
      </c>
      <c r="G431" s="66">
        <v>46143</v>
      </c>
      <c r="H431" s="45" t="str">
        <f>IF(ISNUMBER(E431),F431-E431,"N/A")</f>
        <v>N/A</v>
      </c>
      <c r="I431" s="46" t="str">
        <f>IF(E431&lt;&gt;"",IF(F431=E431,"No Change",IF(F431&gt;E431,"Increase","Decrease")),"New")</f>
        <v>Increase</v>
      </c>
      <c r="J431" s="58"/>
      <c r="K431" s="59" t="str">
        <f>IF(LEN(J431)&gt;0,IF(OR(ISLOGICAL(J431),J431="TRUE"),"Yes",""),"")</f>
      </c>
      <c r="L431" s="59"/>
      <c r="M431" s="59"/>
      <c r="N431" s="62" t="str">
        <f>IF(LEN(M431)&gt;0,IF(OR(ISLOGICAL(M431),M431="TRUE"),"Yes",""),"")</f>
      </c>
      <c r="O431" s="59"/>
      <c r="P431" s="62" t="str">
        <f>IF(LEN(O431)&gt;0,IF(OR(ISLOGICAL(O431),O431="TRUE"),"Yes",""),"")</f>
      </c>
      <c r="Q431" s="62" t="s">
        <v>109</v>
      </c>
      <c r="R431" s="63"/>
    </row>
    <row r="432" spans="1:18" s="47" customFormat="1" ht="51">
      <c r="A432" s="63" t="s">
        <v>938</v>
      </c>
      <c r="B432" s="63" t="s">
        <v>96</v>
      </c>
      <c r="C432" s="63" t="s">
        <v>939</v>
      </c>
      <c r="D432" s="61"/>
      <c r="E432" s="45">
        <v>10</v>
      </c>
      <c r="F432" s="45">
        <v>10</v>
      </c>
      <c r="G432" s="66">
        <v>46082</v>
      </c>
      <c r="H432" s="45" t="str">
        <f>IF(ISNUMBER(E432),F432-E432,"N/A")</f>
        <v>N/A</v>
      </c>
      <c r="I432" s="46" t="str">
        <f>IF(E432&lt;&gt;"",IF(F432=E432,"No Change",IF(F432&gt;E432,"Increase","Decrease")),"New")</f>
        <v>Increase</v>
      </c>
      <c r="J432" s="58"/>
      <c r="K432" s="59" t="str">
        <f>IF(LEN(J432)&gt;0,IF(OR(ISLOGICAL(J432),J432="TRUE"),"Yes",""),"")</f>
      </c>
      <c r="L432" s="59"/>
      <c r="M432" s="59"/>
      <c r="N432" s="62" t="str">
        <f>IF(LEN(M432)&gt;0,IF(OR(ISLOGICAL(M432),M432="TRUE"),"Yes",""),"")</f>
      </c>
      <c r="O432" s="59"/>
      <c r="P432" s="62" t="str">
        <f>IF(LEN(O432)&gt;0,IF(OR(ISLOGICAL(O432),O432="TRUE"),"Yes",""),"")</f>
      </c>
      <c r="Q432" s="62" t="s">
        <v>109</v>
      </c>
      <c r="R432" s="63"/>
    </row>
    <row r="433" spans="1:18" s="47" customFormat="1" ht="51">
      <c r="A433" s="63" t="s">
        <v>940</v>
      </c>
      <c r="B433" s="63" t="s">
        <v>96</v>
      </c>
      <c r="C433" s="63" t="s">
        <v>941</v>
      </c>
      <c r="D433" s="61"/>
      <c r="E433" s="45">
        <v>0.2582</v>
      </c>
      <c r="F433" s="45">
        <v>0.2582</v>
      </c>
      <c r="G433" s="66">
        <v>46082</v>
      </c>
      <c r="H433" s="45" t="str">
        <f>IF(ISNUMBER(E433),F433-E433,"N/A")</f>
        <v>N/A</v>
      </c>
      <c r="I433" s="46" t="str">
        <f>IF(E433&lt;&gt;"",IF(F433=E433,"No Change",IF(F433&gt;E433,"Increase","Decrease")),"New")</f>
        <v>Increase</v>
      </c>
      <c r="J433" s="58"/>
      <c r="K433" s="59" t="str">
        <f>IF(LEN(J433)&gt;0,IF(OR(ISLOGICAL(J433),J433="TRUE"),"Yes",""),"")</f>
      </c>
      <c r="L433" s="59"/>
      <c r="M433" s="59"/>
      <c r="N433" s="62" t="str">
        <f>IF(LEN(M433)&gt;0,IF(OR(ISLOGICAL(M433),M433="TRUE"),"Yes",""),"")</f>
      </c>
      <c r="O433" s="59"/>
      <c r="P433" s="62" t="str">
        <f>IF(LEN(O433)&gt;0,IF(OR(ISLOGICAL(O433),O433="TRUE"),"Yes",""),"")</f>
      </c>
      <c r="Q433" s="62" t="s">
        <v>109</v>
      </c>
      <c r="R433" s="63"/>
    </row>
    <row r="434" spans="1:18" s="47" customFormat="1" ht="51">
      <c r="A434" s="63" t="s">
        <v>942</v>
      </c>
      <c r="B434" s="63" t="s">
        <v>96</v>
      </c>
      <c r="C434" s="63" t="s">
        <v>943</v>
      </c>
      <c r="D434" s="61"/>
      <c r="E434" s="45">
        <v>0.6188</v>
      </c>
      <c r="F434" s="45">
        <v>0.6188</v>
      </c>
      <c r="G434" s="66">
        <v>46082</v>
      </c>
      <c r="H434" s="45" t="str">
        <f>IF(ISNUMBER(E434),F434-E434,"N/A")</f>
        <v>N/A</v>
      </c>
      <c r="I434" s="46" t="str">
        <f>IF(E434&lt;&gt;"",IF(F434=E434,"No Change",IF(F434&gt;E434,"Increase","Decrease")),"New")</f>
        <v>Increase</v>
      </c>
      <c r="J434" s="58"/>
      <c r="K434" s="59" t="str">
        <f>IF(LEN(J434)&gt;0,IF(OR(ISLOGICAL(J434),J434="TRUE"),"Yes",""),"")</f>
      </c>
      <c r="L434" s="59"/>
      <c r="M434" s="59"/>
      <c r="N434" s="62" t="str">
        <f>IF(LEN(M434)&gt;0,IF(OR(ISLOGICAL(M434),M434="TRUE"),"Yes",""),"")</f>
      </c>
      <c r="O434" s="59"/>
      <c r="P434" s="62" t="str">
        <f>IF(LEN(O434)&gt;0,IF(OR(ISLOGICAL(O434),O434="TRUE"),"Yes",""),"")</f>
      </c>
      <c r="Q434" s="62" t="s">
        <v>109</v>
      </c>
      <c r="R434" s="63"/>
    </row>
    <row r="435" spans="1:18" s="47" customFormat="1" ht="51">
      <c r="A435" s="63" t="s">
        <v>944</v>
      </c>
      <c r="B435" s="63" t="s">
        <v>96</v>
      </c>
      <c r="C435" s="63" t="s">
        <v>945</v>
      </c>
      <c r="D435" s="61"/>
      <c r="E435" s="45">
        <v>0.015</v>
      </c>
      <c r="F435" s="45">
        <v>0.015</v>
      </c>
      <c r="G435" s="66">
        <v>45371</v>
      </c>
      <c r="H435" s="45" t="str">
        <f>IF(ISNUMBER(E435),F435-E435,"N/A")</f>
        <v>N/A</v>
      </c>
      <c r="I435" s="46" t="str">
        <f>IF(E435&lt;&gt;"",IF(F435=E435,"No Change",IF(F435&gt;E435,"Increase","Decrease")),"New")</f>
        <v>Increase</v>
      </c>
      <c r="J435" s="58"/>
      <c r="K435" s="59" t="str">
        <f>IF(LEN(J435)&gt;0,IF(OR(ISLOGICAL(J435),J435="TRUE"),"Yes",""),"")</f>
      </c>
      <c r="L435" s="59"/>
      <c r="M435" s="59"/>
      <c r="N435" s="62" t="str">
        <f>IF(LEN(M435)&gt;0,IF(OR(ISLOGICAL(M435),M435="TRUE"),"Yes",""),"")</f>
      </c>
      <c r="O435" s="59"/>
      <c r="P435" s="62" t="str">
        <f>IF(LEN(O435)&gt;0,IF(OR(ISLOGICAL(O435),O435="TRUE"),"Yes",""),"")</f>
      </c>
      <c r="Q435" s="62" t="s">
        <v>98</v>
      </c>
      <c r="R435" s="63"/>
    </row>
    <row r="436" spans="1:18" s="47" customFormat="1" ht="51">
      <c r="A436" s="63" t="s">
        <v>946</v>
      </c>
      <c r="B436" s="63" t="s">
        <v>96</v>
      </c>
      <c r="C436" s="63" t="s">
        <v>947</v>
      </c>
      <c r="D436" s="61"/>
      <c r="E436" s="45">
        <v>10</v>
      </c>
      <c r="F436" s="45">
        <v>10</v>
      </c>
      <c r="G436" s="66">
        <v>46082</v>
      </c>
      <c r="H436" s="45" t="str">
        <f>IF(ISNUMBER(E436),F436-E436,"N/A")</f>
        <v>N/A</v>
      </c>
      <c r="I436" s="46" t="str">
        <f>IF(E436&lt;&gt;"",IF(F436=E436,"No Change",IF(F436&gt;E436,"Increase","Decrease")),"New")</f>
        <v>Increase</v>
      </c>
      <c r="J436" s="58"/>
      <c r="K436" s="59" t="str">
        <f>IF(LEN(J436)&gt;0,IF(OR(ISLOGICAL(J436),J436="TRUE"),"Yes",""),"")</f>
      </c>
      <c r="L436" s="59"/>
      <c r="M436" s="59"/>
      <c r="N436" s="62" t="str">
        <f>IF(LEN(M436)&gt;0,IF(OR(ISLOGICAL(M436),M436="TRUE"),"Yes",""),"")</f>
      </c>
      <c r="O436" s="59"/>
      <c r="P436" s="62" t="str">
        <f>IF(LEN(O436)&gt;0,IF(OR(ISLOGICAL(O436),O436="TRUE"),"Yes",""),"")</f>
      </c>
      <c r="Q436" s="62" t="s">
        <v>109</v>
      </c>
      <c r="R436" s="63"/>
    </row>
    <row r="437" spans="1:18" s="47" customFormat="1" ht="51">
      <c r="A437" s="63" t="s">
        <v>948</v>
      </c>
      <c r="B437" s="63" t="s">
        <v>96</v>
      </c>
      <c r="C437" s="63" t="s">
        <v>949</v>
      </c>
      <c r="D437" s="61"/>
      <c r="E437" s="45">
        <v>1.4849</v>
      </c>
      <c r="F437" s="45">
        <v>1.4849</v>
      </c>
      <c r="G437" s="66">
        <v>46082</v>
      </c>
      <c r="H437" s="45" t="str">
        <f>IF(ISNUMBER(E437),F437-E437,"N/A")</f>
        <v>N/A</v>
      </c>
      <c r="I437" s="46" t="str">
        <f>IF(E437&lt;&gt;"",IF(F437=E437,"No Change",IF(F437&gt;E437,"Increase","Decrease")),"New")</f>
        <v>Increase</v>
      </c>
      <c r="J437" s="58"/>
      <c r="K437" s="59" t="str">
        <f>IF(LEN(J437)&gt;0,IF(OR(ISLOGICAL(J437),J437="TRUE"),"Yes",""),"")</f>
      </c>
      <c r="L437" s="59"/>
      <c r="M437" s="59"/>
      <c r="N437" s="62" t="str">
        <f>IF(LEN(M437)&gt;0,IF(OR(ISLOGICAL(M437),M437="TRUE"),"Yes",""),"")</f>
      </c>
      <c r="O437" s="59"/>
      <c r="P437" s="62" t="str">
        <f>IF(LEN(O437)&gt;0,IF(OR(ISLOGICAL(O437),O437="TRUE"),"Yes",""),"")</f>
      </c>
      <c r="Q437" s="62" t="s">
        <v>109</v>
      </c>
      <c r="R437" s="63"/>
    </row>
    <row r="438" spans="1:18" s="47" customFormat="1" ht="51">
      <c r="A438" s="63" t="s">
        <v>950</v>
      </c>
      <c r="B438" s="63" t="s">
        <v>96</v>
      </c>
      <c r="C438" s="63" t="s">
        <v>951</v>
      </c>
      <c r="D438" s="61"/>
      <c r="E438" s="45">
        <v>1.8077</v>
      </c>
      <c r="F438" s="45">
        <v>1.8077</v>
      </c>
      <c r="G438" s="66">
        <v>46148</v>
      </c>
      <c r="H438" s="45" t="str">
        <f>IF(ISNUMBER(E438),F438-E438,"N/A")</f>
        <v>N/A</v>
      </c>
      <c r="I438" s="46" t="str">
        <f>IF(E438&lt;&gt;"",IF(F438=E438,"No Change",IF(F438&gt;E438,"Increase","Decrease")),"New")</f>
        <v>Increase</v>
      </c>
      <c r="J438" s="58"/>
      <c r="K438" s="59" t="str">
        <f>IF(LEN(J438)&gt;0,IF(OR(ISLOGICAL(J438),J438="TRUE"),"Yes",""),"")</f>
      </c>
      <c r="L438" s="59"/>
      <c r="M438" s="59"/>
      <c r="N438" s="62" t="str">
        <f>IF(LEN(M438)&gt;0,IF(OR(ISLOGICAL(M438),M438="TRUE"),"Yes",""),"")</f>
      </c>
      <c r="O438" s="59"/>
      <c r="P438" s="62" t="str">
        <f>IF(LEN(O438)&gt;0,IF(OR(ISLOGICAL(O438),O438="TRUE"),"Yes",""),"")</f>
      </c>
      <c r="Q438" s="62" t="s">
        <v>109</v>
      </c>
      <c r="R438" s="63"/>
    </row>
    <row r="439" spans="1:18" s="47" customFormat="1" ht="51">
      <c r="A439" s="63" t="s">
        <v>952</v>
      </c>
      <c r="B439" s="63" t="s">
        <v>96</v>
      </c>
      <c r="C439" s="63" t="s">
        <v>953</v>
      </c>
      <c r="D439" s="61"/>
      <c r="E439" s="45">
        <v>0.015</v>
      </c>
      <c r="F439" s="45">
        <v>0.015</v>
      </c>
      <c r="G439" s="66">
        <v>46092</v>
      </c>
      <c r="H439" s="45" t="str">
        <f>IF(ISNUMBER(E439),F439-E439,"N/A")</f>
        <v>N/A</v>
      </c>
      <c r="I439" s="46" t="str">
        <f>IF(E439&lt;&gt;"",IF(F439=E439,"No Change",IF(F439&gt;E439,"Increase","Decrease")),"New")</f>
        <v>Increase</v>
      </c>
      <c r="J439" s="58"/>
      <c r="K439" s="59" t="str">
        <f>IF(LEN(J439)&gt;0,IF(OR(ISLOGICAL(J439),J439="TRUE"),"Yes",""),"")</f>
      </c>
      <c r="L439" s="59"/>
      <c r="M439" s="59"/>
      <c r="N439" s="62" t="str">
        <f>IF(LEN(M439)&gt;0,IF(OR(ISLOGICAL(M439),M439="TRUE"),"Yes",""),"")</f>
      </c>
      <c r="O439" s="59"/>
      <c r="P439" s="62" t="str">
        <f>IF(LEN(O439)&gt;0,IF(OR(ISLOGICAL(O439),O439="TRUE"),"Yes",""),"")</f>
      </c>
      <c r="Q439" s="62" t="s">
        <v>109</v>
      </c>
      <c r="R439" s="63"/>
    </row>
    <row r="440" spans="1:18" s="47" customFormat="1" ht="51">
      <c r="A440" s="63" t="s">
        <v>954</v>
      </c>
      <c r="B440" s="63" t="s">
        <v>96</v>
      </c>
      <c r="C440" s="63" t="s">
        <v>955</v>
      </c>
      <c r="D440" s="61"/>
      <c r="E440" s="45">
        <v>9.0387</v>
      </c>
      <c r="F440" s="45">
        <v>9.0387</v>
      </c>
      <c r="G440" s="66">
        <v>46082</v>
      </c>
      <c r="H440" s="45" t="str">
        <f>IF(ISNUMBER(E440),F440-E440,"N/A")</f>
        <v>N/A</v>
      </c>
      <c r="I440" s="46" t="str">
        <f>IF(E440&lt;&gt;"",IF(F440=E440,"No Change",IF(F440&gt;E440,"Increase","Decrease")),"New")</f>
        <v>Increase</v>
      </c>
      <c r="J440" s="58"/>
      <c r="K440" s="59" t="str">
        <f>IF(LEN(J440)&gt;0,IF(OR(ISLOGICAL(J440),J440="TRUE"),"Yes",""),"")</f>
      </c>
      <c r="L440" s="59"/>
      <c r="M440" s="59"/>
      <c r="N440" s="62" t="str">
        <f>IF(LEN(M440)&gt;0,IF(OR(ISLOGICAL(M440),M440="TRUE"),"Yes",""),"")</f>
      </c>
      <c r="O440" s="59"/>
      <c r="P440" s="62" t="str">
        <f>IF(LEN(O440)&gt;0,IF(OR(ISLOGICAL(O440),O440="TRUE"),"Yes",""),"")</f>
      </c>
      <c r="Q440" s="62" t="s">
        <v>109</v>
      </c>
      <c r="R440" s="63"/>
    </row>
    <row r="441" spans="1:18" s="47" customFormat="1" ht="51">
      <c r="A441" s="63" t="s">
        <v>956</v>
      </c>
      <c r="B441" s="63" t="s">
        <v>96</v>
      </c>
      <c r="C441" s="63" t="s">
        <v>957</v>
      </c>
      <c r="D441" s="61"/>
      <c r="E441" s="45">
        <v>5.86</v>
      </c>
      <c r="F441" s="45">
        <v>5.86</v>
      </c>
      <c r="G441" s="66">
        <v>46082</v>
      </c>
      <c r="H441" s="45" t="str">
        <f>IF(ISNUMBER(E441),F441-E441,"N/A")</f>
        <v>N/A</v>
      </c>
      <c r="I441" s="46" t="str">
        <f>IF(E441&lt;&gt;"",IF(F441=E441,"No Change",IF(F441&gt;E441,"Increase","Decrease")),"New")</f>
        <v>Increase</v>
      </c>
      <c r="J441" s="58"/>
      <c r="K441" s="59" t="str">
        <f>IF(LEN(J441)&gt;0,IF(OR(ISLOGICAL(J441),J441="TRUE"),"Yes",""),"")</f>
      </c>
      <c r="L441" s="59"/>
      <c r="M441" s="59"/>
      <c r="N441" s="62" t="str">
        <f>IF(LEN(M441)&gt;0,IF(OR(ISLOGICAL(M441),M441="TRUE"),"Yes",""),"")</f>
      </c>
      <c r="O441" s="59"/>
      <c r="P441" s="62" t="str">
        <f>IF(LEN(O441)&gt;0,IF(OR(ISLOGICAL(O441),O441="TRUE"),"Yes",""),"")</f>
      </c>
      <c r="Q441" s="62" t="s">
        <v>98</v>
      </c>
      <c r="R441" s="63"/>
    </row>
    <row r="442" spans="1:18" s="47" customFormat="1" ht="51">
      <c r="A442" s="63" t="s">
        <v>958</v>
      </c>
      <c r="B442" s="63" t="s">
        <v>96</v>
      </c>
      <c r="C442" s="63" t="s">
        <v>959</v>
      </c>
      <c r="D442" s="61"/>
      <c r="E442" s="45">
        <v>2.3</v>
      </c>
      <c r="F442" s="45">
        <v>2.3</v>
      </c>
      <c r="G442" s="66">
        <v>43480</v>
      </c>
      <c r="H442" s="45" t="str">
        <f>IF(ISNUMBER(E442),F442-E442,"N/A")</f>
        <v>N/A</v>
      </c>
      <c r="I442" s="46" t="str">
        <f>IF(E442&lt;&gt;"",IF(F442=E442,"No Change",IF(F442&gt;E442,"Increase","Decrease")),"New")</f>
        <v>Increase</v>
      </c>
      <c r="J442" s="58"/>
      <c r="K442" s="59" t="str">
        <f>IF(LEN(J442)&gt;0,IF(OR(ISLOGICAL(J442),J442="TRUE"),"Yes",""),"")</f>
      </c>
      <c r="L442" s="59"/>
      <c r="M442" s="59"/>
      <c r="N442" s="62" t="str">
        <f>IF(LEN(M442)&gt;0,IF(OR(ISLOGICAL(M442),M442="TRUE"),"Yes",""),"")</f>
      </c>
      <c r="O442" s="59"/>
      <c r="P442" s="62" t="str">
        <f>IF(LEN(O442)&gt;0,IF(OR(ISLOGICAL(O442),O442="TRUE"),"Yes",""),"")</f>
      </c>
      <c r="Q442" s="62" t="s">
        <v>98</v>
      </c>
      <c r="R442" s="63"/>
    </row>
    <row r="443" spans="1:18" s="47" customFormat="1" ht="51">
      <c r="A443" s="63" t="s">
        <v>960</v>
      </c>
      <c r="B443" s="63" t="s">
        <v>96</v>
      </c>
      <c r="C443" s="63" t="s">
        <v>961</v>
      </c>
      <c r="D443" s="61"/>
      <c r="E443" s="45">
        <v>0.96</v>
      </c>
      <c r="F443" s="45">
        <v>0.96</v>
      </c>
      <c r="G443" s="66">
        <v>46113</v>
      </c>
      <c r="H443" s="45" t="str">
        <f>IF(ISNUMBER(E443),F443-E443,"N/A")</f>
        <v>N/A</v>
      </c>
      <c r="I443" s="46" t="str">
        <f>IF(E443&lt;&gt;"",IF(F443=E443,"No Change",IF(F443&gt;E443,"Increase","Decrease")),"New")</f>
        <v>Increase</v>
      </c>
      <c r="J443" s="58"/>
      <c r="K443" s="59" t="str">
        <f>IF(LEN(J443)&gt;0,IF(OR(ISLOGICAL(J443),J443="TRUE"),"Yes",""),"")</f>
      </c>
      <c r="L443" s="59"/>
      <c r="M443" s="59"/>
      <c r="N443" s="62" t="str">
        <f>IF(LEN(M443)&gt;0,IF(OR(ISLOGICAL(M443),M443="TRUE"),"Yes",""),"")</f>
      </c>
      <c r="O443" s="59"/>
      <c r="P443" s="62" t="str">
        <f>IF(LEN(O443)&gt;0,IF(OR(ISLOGICAL(O443),O443="TRUE"),"Yes",""),"")</f>
      </c>
      <c r="Q443" s="62" t="s">
        <v>109</v>
      </c>
      <c r="R443" s="63"/>
    </row>
    <row r="444" spans="1:18" s="47" customFormat="1" ht="51">
      <c r="A444" s="63" t="s">
        <v>962</v>
      </c>
      <c r="B444" s="63" t="s">
        <v>96</v>
      </c>
      <c r="C444" s="63" t="s">
        <v>963</v>
      </c>
      <c r="D444" s="61"/>
      <c r="E444" s="45">
        <v>0.1225</v>
      </c>
      <c r="F444" s="45">
        <v>0.1225</v>
      </c>
      <c r="G444" s="66">
        <v>46092</v>
      </c>
      <c r="H444" s="45" t="str">
        <f>IF(ISNUMBER(E444),F444-E444,"N/A")</f>
        <v>N/A</v>
      </c>
      <c r="I444" s="46" t="str">
        <f>IF(E444&lt;&gt;"",IF(F444=E444,"No Change",IF(F444&gt;E444,"Increase","Decrease")),"New")</f>
        <v>Increase</v>
      </c>
      <c r="J444" s="58"/>
      <c r="K444" s="59" t="str">
        <f>IF(LEN(J444)&gt;0,IF(OR(ISLOGICAL(J444),J444="TRUE"),"Yes",""),"")</f>
      </c>
      <c r="L444" s="59"/>
      <c r="M444" s="59"/>
      <c r="N444" s="62" t="str">
        <f>IF(LEN(M444)&gt;0,IF(OR(ISLOGICAL(M444),M444="TRUE"),"Yes",""),"")</f>
      </c>
      <c r="O444" s="59"/>
      <c r="P444" s="62" t="str">
        <f>IF(LEN(O444)&gt;0,IF(OR(ISLOGICAL(O444),O444="TRUE"),"Yes",""),"")</f>
      </c>
      <c r="Q444" s="62" t="s">
        <v>98</v>
      </c>
      <c r="R444" s="63"/>
    </row>
    <row r="445" spans="1:18" s="47" customFormat="1" ht="51">
      <c r="A445" s="63" t="s">
        <v>964</v>
      </c>
      <c r="B445" s="63" t="s">
        <v>96</v>
      </c>
      <c r="C445" s="63" t="s">
        <v>965</v>
      </c>
      <c r="D445" s="61"/>
      <c r="E445" s="45">
        <v>0.355</v>
      </c>
      <c r="F445" s="45">
        <v>0.355</v>
      </c>
      <c r="G445" s="66">
        <v>46082</v>
      </c>
      <c r="H445" s="45" t="str">
        <f>IF(ISNUMBER(E445),F445-E445,"N/A")</f>
        <v>N/A</v>
      </c>
      <c r="I445" s="46" t="str">
        <f>IF(E445&lt;&gt;"",IF(F445=E445,"No Change",IF(F445&gt;E445,"Increase","Decrease")),"New")</f>
        <v>Increase</v>
      </c>
      <c r="J445" s="58"/>
      <c r="K445" s="59" t="str">
        <f>IF(LEN(J445)&gt;0,IF(OR(ISLOGICAL(J445),J445="TRUE"),"Yes",""),"")</f>
      </c>
      <c r="L445" s="59"/>
      <c r="M445" s="59"/>
      <c r="N445" s="62" t="str">
        <f>IF(LEN(M445)&gt;0,IF(OR(ISLOGICAL(M445),M445="TRUE"),"Yes",""),"")</f>
      </c>
      <c r="O445" s="59"/>
      <c r="P445" s="62" t="str">
        <f>IF(LEN(O445)&gt;0,IF(OR(ISLOGICAL(O445),O445="TRUE"),"Yes",""),"")</f>
      </c>
      <c r="Q445" s="62" t="s">
        <v>98</v>
      </c>
      <c r="R445" s="63"/>
    </row>
    <row r="446" spans="1:18" s="47" customFormat="1" ht="51">
      <c r="A446" s="63" t="s">
        <v>966</v>
      </c>
      <c r="B446" s="63" t="s">
        <v>96</v>
      </c>
      <c r="C446" s="63" t="s">
        <v>967</v>
      </c>
      <c r="D446" s="61"/>
      <c r="E446" s="45">
        <v>0.355</v>
      </c>
      <c r="F446" s="45">
        <v>0.355</v>
      </c>
      <c r="G446" s="66">
        <v>46085</v>
      </c>
      <c r="H446" s="45" t="str">
        <f>IF(ISNUMBER(E446),F446-E446,"N/A")</f>
        <v>N/A</v>
      </c>
      <c r="I446" s="46" t="str">
        <f>IF(E446&lt;&gt;"",IF(F446=E446,"No Change",IF(F446&gt;E446,"Increase","Decrease")),"New")</f>
        <v>Increase</v>
      </c>
      <c r="J446" s="58" t="s">
        <v>122</v>
      </c>
      <c r="K446" s="59" t="str">
        <f>IF(LEN(J446)&gt;0,IF(OR(ISLOGICAL(J446),J446="TRUE"),"Yes",""),"")</f>
      </c>
      <c r="L446" s="59"/>
      <c r="M446" s="59"/>
      <c r="N446" s="62" t="str">
        <f>IF(LEN(M446)&gt;0,IF(OR(ISLOGICAL(M446),M446="TRUE"),"Yes",""),"")</f>
      </c>
      <c r="O446" s="59"/>
      <c r="P446" s="62" t="str">
        <f>IF(LEN(O446)&gt;0,IF(OR(ISLOGICAL(O446),O446="TRUE"),"Yes",""),"")</f>
      </c>
      <c r="Q446" s="62" t="s">
        <v>98</v>
      </c>
      <c r="R446" s="63"/>
    </row>
    <row r="447" spans="1:18" s="47" customFormat="1" ht="51">
      <c r="A447" s="63" t="s">
        <v>968</v>
      </c>
      <c r="B447" s="63" t="s">
        <v>96</v>
      </c>
      <c r="C447" s="63" t="s">
        <v>969</v>
      </c>
      <c r="D447" s="61"/>
      <c r="E447" s="45">
        <v>0.355</v>
      </c>
      <c r="F447" s="45">
        <v>0.355</v>
      </c>
      <c r="G447" s="66">
        <v>46015</v>
      </c>
      <c r="H447" s="45" t="str">
        <f>IF(ISNUMBER(E447),F447-E447,"N/A")</f>
        <v>N/A</v>
      </c>
      <c r="I447" s="46" t="str">
        <f>IF(E447&lt;&gt;"",IF(F447=E447,"No Change",IF(F447&gt;E447,"Increase","Decrease")),"New")</f>
        <v>Increase</v>
      </c>
      <c r="J447" s="58" t="s">
        <v>122</v>
      </c>
      <c r="K447" s="59" t="str">
        <f>IF(LEN(J447)&gt;0,IF(OR(ISLOGICAL(J447),J447="TRUE"),"Yes",""),"")</f>
      </c>
      <c r="L447" s="59"/>
      <c r="M447" s="59"/>
      <c r="N447" s="62" t="str">
        <f>IF(LEN(M447)&gt;0,IF(OR(ISLOGICAL(M447),M447="TRUE"),"Yes",""),"")</f>
      </c>
      <c r="O447" s="59"/>
      <c r="P447" s="62" t="str">
        <f>IF(LEN(O447)&gt;0,IF(OR(ISLOGICAL(O447),O447="TRUE"),"Yes",""),"")</f>
      </c>
      <c r="Q447" s="62" t="s">
        <v>98</v>
      </c>
      <c r="R447" s="63"/>
    </row>
    <row r="448" spans="1:18" s="47" customFormat="1" ht="51">
      <c r="A448" s="63" t="s">
        <v>970</v>
      </c>
      <c r="B448" s="63" t="s">
        <v>96</v>
      </c>
      <c r="C448" s="63" t="s">
        <v>971</v>
      </c>
      <c r="D448" s="61"/>
      <c r="E448" s="45">
        <v>0.355</v>
      </c>
      <c r="F448" s="45">
        <v>0.355</v>
      </c>
      <c r="G448" s="66">
        <v>46082</v>
      </c>
      <c r="H448" s="45" t="str">
        <f>IF(ISNUMBER(E448),F448-E448,"N/A")</f>
        <v>N/A</v>
      </c>
      <c r="I448" s="46" t="str">
        <f>IF(E448&lt;&gt;"",IF(F448=E448,"No Change",IF(F448&gt;E448,"Increase","Decrease")),"New")</f>
        <v>Increase</v>
      </c>
      <c r="J448" s="58"/>
      <c r="K448" s="59" t="str">
        <f>IF(LEN(J448)&gt;0,IF(OR(ISLOGICAL(J448),J448="TRUE"),"Yes",""),"")</f>
      </c>
      <c r="L448" s="59"/>
      <c r="M448" s="59"/>
      <c r="N448" s="62" t="str">
        <f>IF(LEN(M448)&gt;0,IF(OR(ISLOGICAL(M448),M448="TRUE"),"Yes",""),"")</f>
      </c>
      <c r="O448" s="59"/>
      <c r="P448" s="62" t="str">
        <f>IF(LEN(O448)&gt;0,IF(OR(ISLOGICAL(O448),O448="TRUE"),"Yes",""),"")</f>
      </c>
      <c r="Q448" s="62" t="s">
        <v>98</v>
      </c>
      <c r="R448" s="63"/>
    </row>
    <row r="449" spans="1:18" s="47" customFormat="1" ht="51">
      <c r="A449" s="63" t="s">
        <v>972</v>
      </c>
      <c r="B449" s="63" t="s">
        <v>96</v>
      </c>
      <c r="C449" s="63" t="s">
        <v>973</v>
      </c>
      <c r="D449" s="61"/>
      <c r="E449" s="45">
        <v>0.048</v>
      </c>
      <c r="F449" s="45">
        <v>0.048</v>
      </c>
      <c r="G449" s="66">
        <v>43435</v>
      </c>
      <c r="H449" s="45" t="str">
        <f>IF(ISNUMBER(E449),F449-E449,"N/A")</f>
        <v>N/A</v>
      </c>
      <c r="I449" s="46" t="str">
        <f>IF(E449&lt;&gt;"",IF(F449=E449,"No Change",IF(F449&gt;E449,"Increase","Decrease")),"New")</f>
        <v>Increase</v>
      </c>
      <c r="J449" s="58"/>
      <c r="K449" s="59" t="str">
        <f>IF(LEN(J449)&gt;0,IF(OR(ISLOGICAL(J449),J449="TRUE"),"Yes",""),"")</f>
      </c>
      <c r="L449" s="59"/>
      <c r="M449" s="59"/>
      <c r="N449" s="62" t="str">
        <f>IF(LEN(M449)&gt;0,IF(OR(ISLOGICAL(M449),M449="TRUE"),"Yes",""),"")</f>
      </c>
      <c r="O449" s="59"/>
      <c r="P449" s="62" t="str">
        <f>IF(LEN(O449)&gt;0,IF(OR(ISLOGICAL(O449),O449="TRUE"),"Yes",""),"")</f>
      </c>
      <c r="Q449" s="62" t="s">
        <v>98</v>
      </c>
      <c r="R449" s="63"/>
    </row>
    <row r="450" spans="1:18" s="47" customFormat="1" ht="51">
      <c r="A450" s="63" t="s">
        <v>974</v>
      </c>
      <c r="B450" s="63" t="s">
        <v>96</v>
      </c>
      <c r="C450" s="63" t="s">
        <v>975</v>
      </c>
      <c r="D450" s="61"/>
      <c r="E450" s="45">
        <v>0.048</v>
      </c>
      <c r="F450" s="45">
        <v>0.048</v>
      </c>
      <c r="G450" s="66">
        <v>43435</v>
      </c>
      <c r="H450" s="45" t="str">
        <f>IF(ISNUMBER(E450),F450-E450,"N/A")</f>
        <v>N/A</v>
      </c>
      <c r="I450" s="46" t="str">
        <f>IF(E450&lt;&gt;"",IF(F450=E450,"No Change",IF(F450&gt;E450,"Increase","Decrease")),"New")</f>
        <v>Increase</v>
      </c>
      <c r="J450" s="58"/>
      <c r="K450" s="59" t="str">
        <f>IF(LEN(J450)&gt;0,IF(OR(ISLOGICAL(J450),J450="TRUE"),"Yes",""),"")</f>
      </c>
      <c r="L450" s="59"/>
      <c r="M450" s="59"/>
      <c r="N450" s="62" t="str">
        <f>IF(LEN(M450)&gt;0,IF(OR(ISLOGICAL(M450),M450="TRUE"),"Yes",""),"")</f>
      </c>
      <c r="O450" s="59"/>
      <c r="P450" s="62" t="str">
        <f>IF(LEN(O450)&gt;0,IF(OR(ISLOGICAL(O450),O450="TRUE"),"Yes",""),"")</f>
      </c>
      <c r="Q450" s="62" t="s">
        <v>98</v>
      </c>
      <c r="R450" s="63"/>
    </row>
    <row r="451" spans="1:18" s="47" customFormat="1" ht="51">
      <c r="A451" s="63" t="s">
        <v>976</v>
      </c>
      <c r="B451" s="63" t="s">
        <v>96</v>
      </c>
      <c r="C451" s="63" t="s">
        <v>977</v>
      </c>
      <c r="D451" s="61"/>
      <c r="E451" s="45">
        <v>0.21</v>
      </c>
      <c r="F451" s="45">
        <v>0.21</v>
      </c>
      <c r="G451" s="66">
        <v>46078</v>
      </c>
      <c r="H451" s="45" t="str">
        <f>IF(ISNUMBER(E451),F451-E451,"N/A")</f>
        <v>N/A</v>
      </c>
      <c r="I451" s="46" t="str">
        <f>IF(E451&lt;&gt;"",IF(F451=E451,"No Change",IF(F451&gt;E451,"Increase","Decrease")),"New")</f>
        <v>Increase</v>
      </c>
      <c r="J451" s="58"/>
      <c r="K451" s="59" t="str">
        <f>IF(LEN(J451)&gt;0,IF(OR(ISLOGICAL(J451),J451="TRUE"),"Yes",""),"")</f>
      </c>
      <c r="L451" s="59"/>
      <c r="M451" s="59"/>
      <c r="N451" s="62" t="str">
        <f>IF(LEN(M451)&gt;0,IF(OR(ISLOGICAL(M451),M451="TRUE"),"Yes",""),"")</f>
      </c>
      <c r="O451" s="59"/>
      <c r="P451" s="62" t="str">
        <f>IF(LEN(O451)&gt;0,IF(OR(ISLOGICAL(O451),O451="TRUE"),"Yes",""),"")</f>
      </c>
      <c r="Q451" s="62" t="s">
        <v>98</v>
      </c>
      <c r="R451" s="63"/>
    </row>
    <row r="452" spans="1:18" s="47" customFormat="1" ht="51">
      <c r="A452" s="63" t="s">
        <v>978</v>
      </c>
      <c r="B452" s="63" t="s">
        <v>96</v>
      </c>
      <c r="C452" s="63" t="s">
        <v>979</v>
      </c>
      <c r="D452" s="61"/>
      <c r="E452" s="45">
        <v>0.21</v>
      </c>
      <c r="F452" s="45">
        <v>0.21</v>
      </c>
      <c r="G452" s="66">
        <v>46078</v>
      </c>
      <c r="H452" s="45" t="str">
        <f>IF(ISNUMBER(E452),F452-E452,"N/A")</f>
        <v>N/A</v>
      </c>
      <c r="I452" s="46" t="str">
        <f>IF(E452&lt;&gt;"",IF(F452=E452,"No Change",IF(F452&gt;E452,"Increase","Decrease")),"New")</f>
        <v>Increase</v>
      </c>
      <c r="J452" s="58"/>
      <c r="K452" s="59" t="str">
        <f>IF(LEN(J452)&gt;0,IF(OR(ISLOGICAL(J452),J452="TRUE"),"Yes",""),"")</f>
      </c>
      <c r="L452" s="59"/>
      <c r="M452" s="59"/>
      <c r="N452" s="62" t="str">
        <f>IF(LEN(M452)&gt;0,IF(OR(ISLOGICAL(M452),M452="TRUE"),"Yes",""),"")</f>
      </c>
      <c r="O452" s="59"/>
      <c r="P452" s="62" t="str">
        <f>IF(LEN(O452)&gt;0,IF(OR(ISLOGICAL(O452),O452="TRUE"),"Yes",""),"")</f>
      </c>
      <c r="Q452" s="62" t="s">
        <v>98</v>
      </c>
      <c r="R452" s="63"/>
    </row>
    <row r="453" spans="1:18" s="47" customFormat="1" ht="51">
      <c r="A453" s="63" t="s">
        <v>980</v>
      </c>
      <c r="B453" s="63" t="s">
        <v>96</v>
      </c>
      <c r="C453" s="63" t="s">
        <v>981</v>
      </c>
      <c r="D453" s="61"/>
      <c r="E453" s="45">
        <v>0.21</v>
      </c>
      <c r="F453" s="45">
        <v>0.21</v>
      </c>
      <c r="G453" s="66">
        <v>46082</v>
      </c>
      <c r="H453" s="45" t="str">
        <f>IF(ISNUMBER(E453),F453-E453,"N/A")</f>
        <v>N/A</v>
      </c>
      <c r="I453" s="46" t="str">
        <f>IF(E453&lt;&gt;"",IF(F453=E453,"No Change",IF(F453&gt;E453,"Increase","Decrease")),"New")</f>
        <v>Increase</v>
      </c>
      <c r="J453" s="58"/>
      <c r="K453" s="59" t="str">
        <f>IF(LEN(J453)&gt;0,IF(OR(ISLOGICAL(J453),J453="TRUE"),"Yes",""),"")</f>
      </c>
      <c r="L453" s="59"/>
      <c r="M453" s="59"/>
      <c r="N453" s="62" t="str">
        <f>IF(LEN(M453)&gt;0,IF(OR(ISLOGICAL(M453),M453="TRUE"),"Yes",""),"")</f>
      </c>
      <c r="O453" s="59"/>
      <c r="P453" s="62" t="str">
        <f>IF(LEN(O453)&gt;0,IF(OR(ISLOGICAL(O453),O453="TRUE"),"Yes",""),"")</f>
      </c>
      <c r="Q453" s="62" t="s">
        <v>98</v>
      </c>
      <c r="R453" s="63"/>
    </row>
    <row r="454" spans="1:18" s="47" customFormat="1" ht="51">
      <c r="A454" s="63" t="s">
        <v>982</v>
      </c>
      <c r="B454" s="63" t="s">
        <v>96</v>
      </c>
      <c r="C454" s="63" t="s">
        <v>983</v>
      </c>
      <c r="D454" s="61"/>
      <c r="E454" s="45">
        <v>0.21</v>
      </c>
      <c r="F454" s="45">
        <v>0.21</v>
      </c>
      <c r="G454" s="66">
        <v>46082</v>
      </c>
      <c r="H454" s="45" t="str">
        <f>IF(ISNUMBER(E454),F454-E454,"N/A")</f>
        <v>N/A</v>
      </c>
      <c r="I454" s="46" t="str">
        <f>IF(E454&lt;&gt;"",IF(F454=E454,"No Change",IF(F454&gt;E454,"Increase","Decrease")),"New")</f>
        <v>Increase</v>
      </c>
      <c r="J454" s="58"/>
      <c r="K454" s="59" t="str">
        <f>IF(LEN(J454)&gt;0,IF(OR(ISLOGICAL(J454),J454="TRUE"),"Yes",""),"")</f>
      </c>
      <c r="L454" s="59"/>
      <c r="M454" s="59"/>
      <c r="N454" s="62" t="str">
        <f>IF(LEN(M454)&gt;0,IF(OR(ISLOGICAL(M454),M454="TRUE"),"Yes",""),"")</f>
      </c>
      <c r="O454" s="59"/>
      <c r="P454" s="62" t="str">
        <f>IF(LEN(O454)&gt;0,IF(OR(ISLOGICAL(O454),O454="TRUE"),"Yes",""),"")</f>
      </c>
      <c r="Q454" s="62" t="s">
        <v>98</v>
      </c>
      <c r="R454" s="63"/>
    </row>
    <row r="455" spans="1:18" s="47" customFormat="1" ht="51">
      <c r="A455" s="63" t="s">
        <v>984</v>
      </c>
      <c r="B455" s="63" t="s">
        <v>96</v>
      </c>
      <c r="C455" s="63" t="s">
        <v>985</v>
      </c>
      <c r="D455" s="61"/>
      <c r="E455" s="45">
        <v>0.025</v>
      </c>
      <c r="F455" s="45">
        <v>0.025</v>
      </c>
      <c r="G455" s="66">
        <v>46078</v>
      </c>
      <c r="H455" s="45" t="str">
        <f>IF(ISNUMBER(E455),F455-E455,"N/A")</f>
        <v>N/A</v>
      </c>
      <c r="I455" s="46" t="str">
        <f>IF(E455&lt;&gt;"",IF(F455=E455,"No Change",IF(F455&gt;E455,"Increase","Decrease")),"New")</f>
        <v>Increase</v>
      </c>
      <c r="J455" s="58"/>
      <c r="K455" s="59" t="str">
        <f>IF(LEN(J455)&gt;0,IF(OR(ISLOGICAL(J455),J455="TRUE"),"Yes",""),"")</f>
      </c>
      <c r="L455" s="59"/>
      <c r="M455" s="59"/>
      <c r="N455" s="62" t="str">
        <f>IF(LEN(M455)&gt;0,IF(OR(ISLOGICAL(M455),M455="TRUE"),"Yes",""),"")</f>
      </c>
      <c r="O455" s="59"/>
      <c r="P455" s="62" t="str">
        <f>IF(LEN(O455)&gt;0,IF(OR(ISLOGICAL(O455),O455="TRUE"),"Yes",""),"")</f>
      </c>
      <c r="Q455" s="62" t="s">
        <v>98</v>
      </c>
      <c r="R455" s="63"/>
    </row>
    <row r="456" spans="1:18" s="47" customFormat="1" ht="51">
      <c r="A456" s="63" t="s">
        <v>986</v>
      </c>
      <c r="B456" s="63" t="s">
        <v>96</v>
      </c>
      <c r="C456" s="63" t="s">
        <v>987</v>
      </c>
      <c r="D456" s="61"/>
      <c r="E456" s="45">
        <v>0.235</v>
      </c>
      <c r="F456" s="45">
        <v>0.235</v>
      </c>
      <c r="G456" s="66">
        <v>46082</v>
      </c>
      <c r="H456" s="45" t="str">
        <f>IF(ISNUMBER(E456),F456-E456,"N/A")</f>
        <v>N/A</v>
      </c>
      <c r="I456" s="46" t="str">
        <f>IF(E456&lt;&gt;"",IF(F456=E456,"No Change",IF(F456&gt;E456,"Increase","Decrease")),"New")</f>
        <v>Increase</v>
      </c>
      <c r="J456" s="58"/>
      <c r="K456" s="59" t="str">
        <f>IF(LEN(J456)&gt;0,IF(OR(ISLOGICAL(J456),J456="TRUE"),"Yes",""),"")</f>
      </c>
      <c r="L456" s="59"/>
      <c r="M456" s="59"/>
      <c r="N456" s="62" t="str">
        <f>IF(LEN(M456)&gt;0,IF(OR(ISLOGICAL(M456),M456="TRUE"),"Yes",""),"")</f>
      </c>
      <c r="O456" s="59"/>
      <c r="P456" s="62" t="str">
        <f>IF(LEN(O456)&gt;0,IF(OR(ISLOGICAL(O456),O456="TRUE"),"Yes",""),"")</f>
      </c>
      <c r="Q456" s="62" t="s">
        <v>98</v>
      </c>
      <c r="R456" s="63"/>
    </row>
    <row r="457" spans="1:18" s="47" customFormat="1" ht="51">
      <c r="A457" s="63" t="s">
        <v>988</v>
      </c>
      <c r="B457" s="63" t="s">
        <v>96</v>
      </c>
      <c r="C457" s="63" t="s">
        <v>989</v>
      </c>
      <c r="D457" s="61"/>
      <c r="E457" s="45">
        <v>0.235</v>
      </c>
      <c r="F457" s="45">
        <v>0.235</v>
      </c>
      <c r="G457" s="66">
        <v>46082</v>
      </c>
      <c r="H457" s="45" t="str">
        <f>IF(ISNUMBER(E457),F457-E457,"N/A")</f>
        <v>N/A</v>
      </c>
      <c r="I457" s="46" t="str">
        <f>IF(E457&lt;&gt;"",IF(F457=E457,"No Change",IF(F457&gt;E457,"Increase","Decrease")),"New")</f>
        <v>Increase</v>
      </c>
      <c r="J457" s="58"/>
      <c r="K457" s="59" t="str">
        <f>IF(LEN(J457)&gt;0,IF(OR(ISLOGICAL(J457),J457="TRUE"),"Yes",""),"")</f>
      </c>
      <c r="L457" s="59"/>
      <c r="M457" s="59"/>
      <c r="N457" s="62" t="str">
        <f>IF(LEN(M457)&gt;0,IF(OR(ISLOGICAL(M457),M457="TRUE"),"Yes",""),"")</f>
      </c>
      <c r="O457" s="59"/>
      <c r="P457" s="62" t="str">
        <f>IF(LEN(O457)&gt;0,IF(OR(ISLOGICAL(O457),O457="TRUE"),"Yes",""),"")</f>
      </c>
      <c r="Q457" s="62" t="s">
        <v>98</v>
      </c>
      <c r="R457" s="63"/>
    </row>
    <row r="458" spans="1:18" s="47" customFormat="1" ht="51">
      <c r="A458" s="63" t="s">
        <v>990</v>
      </c>
      <c r="B458" s="63" t="s">
        <v>96</v>
      </c>
      <c r="C458" s="63" t="s">
        <v>991</v>
      </c>
      <c r="D458" s="61"/>
      <c r="E458" s="45">
        <v>0.235</v>
      </c>
      <c r="F458" s="45">
        <v>0.235</v>
      </c>
      <c r="G458" s="66">
        <v>46082</v>
      </c>
      <c r="H458" s="45" t="str">
        <f>IF(ISNUMBER(E458),F458-E458,"N/A")</f>
        <v>N/A</v>
      </c>
      <c r="I458" s="46" t="str">
        <f>IF(E458&lt;&gt;"",IF(F458=E458,"No Change",IF(F458&gt;E458,"Increase","Decrease")),"New")</f>
        <v>Increase</v>
      </c>
      <c r="J458" s="58"/>
      <c r="K458" s="59" t="str">
        <f>IF(LEN(J458)&gt;0,IF(OR(ISLOGICAL(J458),J458="TRUE"),"Yes",""),"")</f>
      </c>
      <c r="L458" s="59"/>
      <c r="M458" s="59"/>
      <c r="N458" s="62" t="str">
        <f>IF(LEN(M458)&gt;0,IF(OR(ISLOGICAL(M458),M458="TRUE"),"Yes",""),"")</f>
      </c>
      <c r="O458" s="59"/>
      <c r="P458" s="62" t="str">
        <f>IF(LEN(O458)&gt;0,IF(OR(ISLOGICAL(O458),O458="TRUE"),"Yes",""),"")</f>
      </c>
      <c r="Q458" s="62" t="s">
        <v>98</v>
      </c>
      <c r="R458" s="63"/>
    </row>
    <row r="459" spans="1:18" s="47" customFormat="1" ht="51">
      <c r="A459" s="63" t="s">
        <v>992</v>
      </c>
      <c r="B459" s="63" t="s">
        <v>96</v>
      </c>
      <c r="C459" s="63" t="s">
        <v>993</v>
      </c>
      <c r="D459" s="61"/>
      <c r="E459" s="45">
        <v>0.235</v>
      </c>
      <c r="F459" s="45">
        <v>0.235</v>
      </c>
      <c r="G459" s="66">
        <v>46082</v>
      </c>
      <c r="H459" s="45" t="str">
        <f>IF(ISNUMBER(E459),F459-E459,"N/A")</f>
        <v>N/A</v>
      </c>
      <c r="I459" s="46" t="str">
        <f>IF(E459&lt;&gt;"",IF(F459=E459,"No Change",IF(F459&gt;E459,"Increase","Decrease")),"New")</f>
        <v>Increase</v>
      </c>
      <c r="J459" s="58"/>
      <c r="K459" s="59" t="str">
        <f>IF(LEN(J459)&gt;0,IF(OR(ISLOGICAL(J459),J459="TRUE"),"Yes",""),"")</f>
      </c>
      <c r="L459" s="59"/>
      <c r="M459" s="59"/>
      <c r="N459" s="62" t="str">
        <f>IF(LEN(M459)&gt;0,IF(OR(ISLOGICAL(M459),M459="TRUE"),"Yes",""),"")</f>
      </c>
      <c r="O459" s="59"/>
      <c r="P459" s="62" t="str">
        <f>IF(LEN(O459)&gt;0,IF(OR(ISLOGICAL(O459),O459="TRUE"),"Yes",""),"")</f>
      </c>
      <c r="Q459" s="62" t="s">
        <v>98</v>
      </c>
      <c r="R459" s="63"/>
    </row>
    <row r="460" spans="1:18" s="47" customFormat="1" ht="51">
      <c r="A460" s="63" t="s">
        <v>994</v>
      </c>
      <c r="B460" s="63" t="s">
        <v>96</v>
      </c>
      <c r="C460" s="63" t="s">
        <v>995</v>
      </c>
      <c r="D460" s="61"/>
      <c r="E460" s="45">
        <v>0.013</v>
      </c>
      <c r="F460" s="45">
        <v>0.013</v>
      </c>
      <c r="G460" s="66">
        <v>45413</v>
      </c>
      <c r="H460" s="45" t="str">
        <f>IF(ISNUMBER(E460),F460-E460,"N/A")</f>
        <v>N/A</v>
      </c>
      <c r="I460" s="46" t="str">
        <f>IF(E460&lt;&gt;"",IF(F460=E460,"No Change",IF(F460&gt;E460,"Increase","Decrease")),"New")</f>
        <v>Increase</v>
      </c>
      <c r="J460" s="58"/>
      <c r="K460" s="59" t="str">
        <f>IF(LEN(J460)&gt;0,IF(OR(ISLOGICAL(J460),J460="TRUE"),"Yes",""),"")</f>
      </c>
      <c r="L460" s="59"/>
      <c r="M460" s="59"/>
      <c r="N460" s="62" t="str">
        <f>IF(LEN(M460)&gt;0,IF(OR(ISLOGICAL(M460),M460="TRUE"),"Yes",""),"")</f>
      </c>
      <c r="O460" s="59"/>
      <c r="P460" s="62" t="str">
        <f>IF(LEN(O460)&gt;0,IF(OR(ISLOGICAL(O460),O460="TRUE"),"Yes",""),"")</f>
      </c>
      <c r="Q460" s="62" t="s">
        <v>98</v>
      </c>
      <c r="R460" s="63"/>
    </row>
    <row r="461" spans="1:18" s="47" customFormat="1" ht="51">
      <c r="A461" s="63" t="s">
        <v>996</v>
      </c>
      <c r="B461" s="63" t="s">
        <v>96</v>
      </c>
      <c r="C461" s="63" t="s">
        <v>997</v>
      </c>
      <c r="D461" s="61"/>
      <c r="E461" s="45">
        <v>0.15</v>
      </c>
      <c r="F461" s="45">
        <v>0.15</v>
      </c>
      <c r="G461" s="66">
        <v>46085</v>
      </c>
      <c r="H461" s="45" t="str">
        <f>IF(ISNUMBER(E461),F461-E461,"N/A")</f>
        <v>N/A</v>
      </c>
      <c r="I461" s="46" t="str">
        <f>IF(E461&lt;&gt;"",IF(F461=E461,"No Change",IF(F461&gt;E461,"Increase","Decrease")),"New")</f>
        <v>Increase</v>
      </c>
      <c r="J461" s="58"/>
      <c r="K461" s="59" t="str">
        <f>IF(LEN(J461)&gt;0,IF(OR(ISLOGICAL(J461),J461="TRUE"),"Yes",""),"")</f>
      </c>
      <c r="L461" s="59"/>
      <c r="M461" s="59"/>
      <c r="N461" s="62" t="str">
        <f>IF(LEN(M461)&gt;0,IF(OR(ISLOGICAL(M461),M461="TRUE"),"Yes",""),"")</f>
      </c>
      <c r="O461" s="59"/>
      <c r="P461" s="62" t="str">
        <f>IF(LEN(O461)&gt;0,IF(OR(ISLOGICAL(O461),O461="TRUE"),"Yes",""),"")</f>
      </c>
      <c r="Q461" s="62" t="s">
        <v>98</v>
      </c>
      <c r="R461" s="63"/>
    </row>
    <row r="462" spans="1:18" s="47" customFormat="1" ht="51">
      <c r="A462" s="63" t="s">
        <v>998</v>
      </c>
      <c r="B462" s="63" t="s">
        <v>96</v>
      </c>
      <c r="C462" s="63" t="s">
        <v>999</v>
      </c>
      <c r="D462" s="61"/>
      <c r="E462" s="45">
        <v>0.15</v>
      </c>
      <c r="F462" s="45">
        <v>0.15</v>
      </c>
      <c r="G462" s="66">
        <v>46082</v>
      </c>
      <c r="H462" s="45" t="str">
        <f>IF(ISNUMBER(E462),F462-E462,"N/A")</f>
        <v>N/A</v>
      </c>
      <c r="I462" s="46" t="str">
        <f>IF(E462&lt;&gt;"",IF(F462=E462,"No Change",IF(F462&gt;E462,"Increase","Decrease")),"New")</f>
        <v>Increase</v>
      </c>
      <c r="J462" s="58"/>
      <c r="K462" s="59" t="str">
        <f>IF(LEN(J462)&gt;0,IF(OR(ISLOGICAL(J462),J462="TRUE"),"Yes",""),"")</f>
      </c>
      <c r="L462" s="59"/>
      <c r="M462" s="59"/>
      <c r="N462" s="62" t="str">
        <f>IF(LEN(M462)&gt;0,IF(OR(ISLOGICAL(M462),M462="TRUE"),"Yes",""),"")</f>
      </c>
      <c r="O462" s="59"/>
      <c r="P462" s="62" t="str">
        <f>IF(LEN(O462)&gt;0,IF(OR(ISLOGICAL(O462),O462="TRUE"),"Yes",""),"")</f>
      </c>
      <c r="Q462" s="62" t="s">
        <v>98</v>
      </c>
      <c r="R462" s="63"/>
    </row>
    <row r="463" spans="1:18" s="47" customFormat="1" ht="51">
      <c r="A463" s="63" t="s">
        <v>1000</v>
      </c>
      <c r="B463" s="63" t="s">
        <v>96</v>
      </c>
      <c r="C463" s="63" t="s">
        <v>1001</v>
      </c>
      <c r="D463" s="61"/>
      <c r="E463" s="45">
        <v>0.15</v>
      </c>
      <c r="F463" s="45">
        <v>0.15</v>
      </c>
      <c r="G463" s="66">
        <v>46082</v>
      </c>
      <c r="H463" s="45" t="str">
        <f>IF(ISNUMBER(E463),F463-E463,"N/A")</f>
        <v>N/A</v>
      </c>
      <c r="I463" s="46" t="str">
        <f>IF(E463&lt;&gt;"",IF(F463=E463,"No Change",IF(F463&gt;E463,"Increase","Decrease")),"New")</f>
        <v>Increase</v>
      </c>
      <c r="J463" s="58"/>
      <c r="K463" s="59" t="str">
        <f>IF(LEN(J463)&gt;0,IF(OR(ISLOGICAL(J463),J463="TRUE"),"Yes",""),"")</f>
      </c>
      <c r="L463" s="59"/>
      <c r="M463" s="59"/>
      <c r="N463" s="62" t="str">
        <f>IF(LEN(M463)&gt;0,IF(OR(ISLOGICAL(M463),M463="TRUE"),"Yes",""),"")</f>
      </c>
      <c r="O463" s="59"/>
      <c r="P463" s="62" t="str">
        <f>IF(LEN(O463)&gt;0,IF(OR(ISLOGICAL(O463),O463="TRUE"),"Yes",""),"")</f>
      </c>
      <c r="Q463" s="62" t="s">
        <v>98</v>
      </c>
      <c r="R463" s="63"/>
    </row>
    <row r="464" spans="1:18" s="47" customFormat="1" ht="51">
      <c r="A464" s="63" t="s">
        <v>1002</v>
      </c>
      <c r="B464" s="63" t="s">
        <v>96</v>
      </c>
      <c r="C464" s="63" t="s">
        <v>1003</v>
      </c>
      <c r="D464" s="61"/>
      <c r="E464" s="45">
        <v>0.1335</v>
      </c>
      <c r="F464" s="45">
        <v>0.1335</v>
      </c>
      <c r="G464" s="66">
        <v>46092</v>
      </c>
      <c r="H464" s="45" t="str">
        <f>IF(ISNUMBER(E464),F464-E464,"N/A")</f>
        <v>N/A</v>
      </c>
      <c r="I464" s="46" t="str">
        <f>IF(E464&lt;&gt;"",IF(F464=E464,"No Change",IF(F464&gt;E464,"Increase","Decrease")),"New")</f>
        <v>Increase</v>
      </c>
      <c r="J464" s="58" t="s">
        <v>122</v>
      </c>
      <c r="K464" s="59" t="str">
        <f>IF(LEN(J464)&gt;0,IF(OR(ISLOGICAL(J464),J464="TRUE"),"Yes",""),"")</f>
      </c>
      <c r="L464" s="59"/>
      <c r="M464" s="59"/>
      <c r="N464" s="62" t="str">
        <f>IF(LEN(M464)&gt;0,IF(OR(ISLOGICAL(M464),M464="TRUE"),"Yes",""),"")</f>
      </c>
      <c r="O464" s="59"/>
      <c r="P464" s="62" t="str">
        <f>IF(LEN(O464)&gt;0,IF(OR(ISLOGICAL(O464),O464="TRUE"),"Yes",""),"")</f>
      </c>
      <c r="Q464" s="62" t="s">
        <v>98</v>
      </c>
      <c r="R464" s="63"/>
    </row>
    <row r="465" spans="1:18" s="47" customFormat="1" ht="51">
      <c r="A465" s="63" t="s">
        <v>1004</v>
      </c>
      <c r="B465" s="63" t="s">
        <v>96</v>
      </c>
      <c r="C465" s="63" t="s">
        <v>1005</v>
      </c>
      <c r="D465" s="61"/>
      <c r="E465" s="45">
        <v>0.1155</v>
      </c>
      <c r="F465" s="45">
        <v>0.1155</v>
      </c>
      <c r="G465" s="66">
        <v>46078</v>
      </c>
      <c r="H465" s="45" t="str">
        <f>IF(ISNUMBER(E465),F465-E465,"N/A")</f>
        <v>N/A</v>
      </c>
      <c r="I465" s="46" t="str">
        <f>IF(E465&lt;&gt;"",IF(F465=E465,"No Change",IF(F465&gt;E465,"Increase","Decrease")),"New")</f>
        <v>Increase</v>
      </c>
      <c r="J465" s="58" t="s">
        <v>122</v>
      </c>
      <c r="K465" s="59" t="str">
        <f>IF(LEN(J465)&gt;0,IF(OR(ISLOGICAL(J465),J465="TRUE"),"Yes",""),"")</f>
      </c>
      <c r="L465" s="59"/>
      <c r="M465" s="59"/>
      <c r="N465" s="62" t="str">
        <f>IF(LEN(M465)&gt;0,IF(OR(ISLOGICAL(M465),M465="TRUE"),"Yes",""),"")</f>
      </c>
      <c r="O465" s="59"/>
      <c r="P465" s="62" t="str">
        <f>IF(LEN(O465)&gt;0,IF(OR(ISLOGICAL(O465),O465="TRUE"),"Yes",""),"")</f>
      </c>
      <c r="Q465" s="62" t="s">
        <v>98</v>
      </c>
      <c r="R465" s="63"/>
    </row>
    <row r="466" spans="1:18" s="47" customFormat="1" ht="51">
      <c r="A466" s="63" t="s">
        <v>1006</v>
      </c>
      <c r="B466" s="63" t="s">
        <v>96</v>
      </c>
      <c r="C466" s="63" t="s">
        <v>1007</v>
      </c>
      <c r="D466" s="61"/>
      <c r="E466" s="45">
        <v>0.095</v>
      </c>
      <c r="F466" s="45">
        <v>0.095</v>
      </c>
      <c r="G466" s="66">
        <v>46092</v>
      </c>
      <c r="H466" s="45" t="str">
        <f>IF(ISNUMBER(E466),F466-E466,"N/A")</f>
        <v>N/A</v>
      </c>
      <c r="I466" s="46" t="str">
        <f>IF(E466&lt;&gt;"",IF(F466=E466,"No Change",IF(F466&gt;E466,"Increase","Decrease")),"New")</f>
        <v>Increase</v>
      </c>
      <c r="J466" s="58" t="s">
        <v>122</v>
      </c>
      <c r="K466" s="59" t="str">
        <f>IF(LEN(J466)&gt;0,IF(OR(ISLOGICAL(J466),J466="TRUE"),"Yes",""),"")</f>
      </c>
      <c r="L466" s="59"/>
      <c r="M466" s="59"/>
      <c r="N466" s="62" t="str">
        <f>IF(LEN(M466)&gt;0,IF(OR(ISLOGICAL(M466),M466="TRUE"),"Yes",""),"")</f>
      </c>
      <c r="O466" s="59"/>
      <c r="P466" s="62" t="str">
        <f>IF(LEN(O466)&gt;0,IF(OR(ISLOGICAL(O466),O466="TRUE"),"Yes",""),"")</f>
      </c>
      <c r="Q466" s="62" t="s">
        <v>98</v>
      </c>
      <c r="R466" s="63"/>
    </row>
    <row r="467" spans="1:18" s="47" customFormat="1" ht="51">
      <c r="A467" s="63" t="s">
        <v>1008</v>
      </c>
      <c r="B467" s="63" t="s">
        <v>96</v>
      </c>
      <c r="C467" s="63" t="s">
        <v>1009</v>
      </c>
      <c r="D467" s="61"/>
      <c r="E467" s="45">
        <v>0.15</v>
      </c>
      <c r="F467" s="45">
        <v>0.15</v>
      </c>
      <c r="G467" s="66">
        <v>46082</v>
      </c>
      <c r="H467" s="45" t="str">
        <f>IF(ISNUMBER(E467),F467-E467,"N/A")</f>
        <v>N/A</v>
      </c>
      <c r="I467" s="46" t="str">
        <f>IF(E467&lt;&gt;"",IF(F467=E467,"No Change",IF(F467&gt;E467,"Increase","Decrease")),"New")</f>
        <v>Increase</v>
      </c>
      <c r="J467" s="58"/>
      <c r="K467" s="59" t="str">
        <f>IF(LEN(J467)&gt;0,IF(OR(ISLOGICAL(J467),J467="TRUE"),"Yes",""),"")</f>
      </c>
      <c r="L467" s="59"/>
      <c r="M467" s="59"/>
      <c r="N467" s="62" t="str">
        <f>IF(LEN(M467)&gt;0,IF(OR(ISLOGICAL(M467),M467="TRUE"),"Yes",""),"")</f>
      </c>
      <c r="O467" s="59"/>
      <c r="P467" s="62" t="str">
        <f>IF(LEN(O467)&gt;0,IF(OR(ISLOGICAL(O467),O467="TRUE"),"Yes",""),"")</f>
      </c>
      <c r="Q467" s="62" t="s">
        <v>98</v>
      </c>
      <c r="R467" s="63"/>
    </row>
    <row r="468" spans="1:18" s="47" customFormat="1" ht="51">
      <c r="A468" s="63" t="s">
        <v>1010</v>
      </c>
      <c r="B468" s="63" t="s">
        <v>96</v>
      </c>
      <c r="C468" s="63" t="s">
        <v>1011</v>
      </c>
      <c r="D468" s="61"/>
      <c r="E468" s="45">
        <v>0.079</v>
      </c>
      <c r="F468" s="45">
        <v>0.079</v>
      </c>
      <c r="G468" s="66">
        <v>46113</v>
      </c>
      <c r="H468" s="45" t="str">
        <f>IF(ISNUMBER(E468),F468-E468,"N/A")</f>
        <v>N/A</v>
      </c>
      <c r="I468" s="46" t="str">
        <f>IF(E468&lt;&gt;"",IF(F468=E468,"No Change",IF(F468&gt;E468,"Increase","Decrease")),"New")</f>
        <v>Increase</v>
      </c>
      <c r="J468" s="58"/>
      <c r="K468" s="59" t="str">
        <f>IF(LEN(J468)&gt;0,IF(OR(ISLOGICAL(J468),J468="TRUE"),"Yes",""),"")</f>
      </c>
      <c r="L468" s="59"/>
      <c r="M468" s="59"/>
      <c r="N468" s="62" t="str">
        <f>IF(LEN(M468)&gt;0,IF(OR(ISLOGICAL(M468),M468="TRUE"),"Yes",""),"")</f>
      </c>
      <c r="O468" s="59"/>
      <c r="P468" s="62" t="str">
        <f>IF(LEN(O468)&gt;0,IF(OR(ISLOGICAL(O468),O468="TRUE"),"Yes",""),"")</f>
      </c>
      <c r="Q468" s="62" t="s">
        <v>98</v>
      </c>
      <c r="R468" s="63"/>
    </row>
    <row r="469" spans="1:18" s="47" customFormat="1" ht="51">
      <c r="A469" s="63" t="s">
        <v>1012</v>
      </c>
      <c r="B469" s="63" t="s">
        <v>96</v>
      </c>
      <c r="C469" s="63" t="s">
        <v>1013</v>
      </c>
      <c r="D469" s="61"/>
      <c r="E469" s="45">
        <v>0.57</v>
      </c>
      <c r="F469" s="45">
        <v>0.57</v>
      </c>
      <c r="G469" s="66">
        <v>46092</v>
      </c>
      <c r="H469" s="45" t="str">
        <f>IF(ISNUMBER(E469),F469-E469,"N/A")</f>
        <v>N/A</v>
      </c>
      <c r="I469" s="46" t="str">
        <f>IF(E469&lt;&gt;"",IF(F469=E469,"No Change",IF(F469&gt;E469,"Increase","Decrease")),"New")</f>
        <v>Increase</v>
      </c>
      <c r="J469" s="58"/>
      <c r="K469" s="59" t="str">
        <f>IF(LEN(J469)&gt;0,IF(OR(ISLOGICAL(J469),J469="TRUE"),"Yes",""),"")</f>
      </c>
      <c r="L469" s="59"/>
      <c r="M469" s="59"/>
      <c r="N469" s="62" t="str">
        <f>IF(LEN(M469)&gt;0,IF(OR(ISLOGICAL(M469),M469="TRUE"),"Yes",""),"")</f>
      </c>
      <c r="O469" s="59"/>
      <c r="P469" s="62" t="str">
        <f>IF(LEN(O469)&gt;0,IF(OR(ISLOGICAL(O469),O469="TRUE"),"Yes",""),"")</f>
      </c>
      <c r="Q469" s="62" t="s">
        <v>98</v>
      </c>
      <c r="R469" s="63"/>
    </row>
    <row r="470" spans="1:18" s="47" customFormat="1" ht="51">
      <c r="A470" s="63" t="s">
        <v>1014</v>
      </c>
      <c r="B470" s="63" t="s">
        <v>96</v>
      </c>
      <c r="C470" s="63" t="s">
        <v>1015</v>
      </c>
      <c r="D470" s="61"/>
      <c r="E470" s="45">
        <v>0.57</v>
      </c>
      <c r="F470" s="45">
        <v>0.57</v>
      </c>
      <c r="G470" s="66">
        <v>46082</v>
      </c>
      <c r="H470" s="45" t="str">
        <f>IF(ISNUMBER(E470),F470-E470,"N/A")</f>
        <v>N/A</v>
      </c>
      <c r="I470" s="46" t="str">
        <f>IF(E470&lt;&gt;"",IF(F470=E470,"No Change",IF(F470&gt;E470,"Increase","Decrease")),"New")</f>
        <v>Increase</v>
      </c>
      <c r="J470" s="58"/>
      <c r="K470" s="59" t="str">
        <f>IF(LEN(J470)&gt;0,IF(OR(ISLOGICAL(J470),J470="TRUE"),"Yes",""),"")</f>
      </c>
      <c r="L470" s="59"/>
      <c r="M470" s="59"/>
      <c r="N470" s="62" t="str">
        <f>IF(LEN(M470)&gt;0,IF(OR(ISLOGICAL(M470),M470="TRUE"),"Yes",""),"")</f>
      </c>
      <c r="O470" s="59"/>
      <c r="P470" s="62" t="str">
        <f>IF(LEN(O470)&gt;0,IF(OR(ISLOGICAL(O470),O470="TRUE"),"Yes",""),"")</f>
      </c>
      <c r="Q470" s="62" t="s">
        <v>98</v>
      </c>
      <c r="R470" s="63"/>
    </row>
    <row r="471" spans="1:18" s="47" customFormat="1" ht="51">
      <c r="A471" s="63" t="s">
        <v>1016</v>
      </c>
      <c r="B471" s="63" t="s">
        <v>96</v>
      </c>
      <c r="C471" s="63" t="s">
        <v>1017</v>
      </c>
      <c r="D471" s="61"/>
      <c r="E471" s="45">
        <v>0.57</v>
      </c>
      <c r="F471" s="45">
        <v>0.57</v>
      </c>
      <c r="G471" s="66">
        <v>46082</v>
      </c>
      <c r="H471" s="45" t="str">
        <f>IF(ISNUMBER(E471),F471-E471,"N/A")</f>
        <v>N/A</v>
      </c>
      <c r="I471" s="46" t="str">
        <f>IF(E471&lt;&gt;"",IF(F471=E471,"No Change",IF(F471&gt;E471,"Increase","Decrease")),"New")</f>
        <v>Increase</v>
      </c>
      <c r="J471" s="58"/>
      <c r="K471" s="59" t="str">
        <f>IF(LEN(J471)&gt;0,IF(OR(ISLOGICAL(J471),J471="TRUE"),"Yes",""),"")</f>
      </c>
      <c r="L471" s="59"/>
      <c r="M471" s="59"/>
      <c r="N471" s="62" t="str">
        <f>IF(LEN(M471)&gt;0,IF(OR(ISLOGICAL(M471),M471="TRUE"),"Yes",""),"")</f>
      </c>
      <c r="O471" s="59"/>
      <c r="P471" s="62" t="str">
        <f>IF(LEN(O471)&gt;0,IF(OR(ISLOGICAL(O471),O471="TRUE"),"Yes",""),"")</f>
      </c>
      <c r="Q471" s="62" t="s">
        <v>98</v>
      </c>
      <c r="R471" s="63"/>
    </row>
    <row r="472" spans="1:18" s="47" customFormat="1" ht="51">
      <c r="A472" s="63" t="s">
        <v>1018</v>
      </c>
      <c r="B472" s="63" t="s">
        <v>96</v>
      </c>
      <c r="C472" s="63" t="s">
        <v>1019</v>
      </c>
      <c r="D472" s="61"/>
      <c r="E472" s="45">
        <v>0.57</v>
      </c>
      <c r="F472" s="45">
        <v>0.57</v>
      </c>
      <c r="G472" s="66">
        <v>46082</v>
      </c>
      <c r="H472" s="45" t="str">
        <f>IF(ISNUMBER(E472),F472-E472,"N/A")</f>
        <v>N/A</v>
      </c>
      <c r="I472" s="46" t="str">
        <f>IF(E472&lt;&gt;"",IF(F472=E472,"No Change",IF(F472&gt;E472,"Increase","Decrease")),"New")</f>
        <v>Increase</v>
      </c>
      <c r="J472" s="58"/>
      <c r="K472" s="59" t="str">
        <f>IF(LEN(J472)&gt;0,IF(OR(ISLOGICAL(J472),J472="TRUE"),"Yes",""),"")</f>
      </c>
      <c r="L472" s="59"/>
      <c r="M472" s="59"/>
      <c r="N472" s="62" t="str">
        <f>IF(LEN(M472)&gt;0,IF(OR(ISLOGICAL(M472),M472="TRUE"),"Yes",""),"")</f>
      </c>
      <c r="O472" s="59"/>
      <c r="P472" s="62" t="str">
        <f>IF(LEN(O472)&gt;0,IF(OR(ISLOGICAL(O472),O472="TRUE"),"Yes",""),"")</f>
      </c>
      <c r="Q472" s="62" t="s">
        <v>98</v>
      </c>
      <c r="R472" s="63"/>
    </row>
    <row r="473" spans="1:18" s="47" customFormat="1" ht="51">
      <c r="A473" s="63" t="s">
        <v>1020</v>
      </c>
      <c r="B473" s="63" t="s">
        <v>96</v>
      </c>
      <c r="C473" s="63" t="s">
        <v>1021</v>
      </c>
      <c r="D473" s="61"/>
      <c r="E473" s="45">
        <v>0.28</v>
      </c>
      <c r="F473" s="45">
        <v>0.28</v>
      </c>
      <c r="G473" s="66">
        <v>46078</v>
      </c>
      <c r="H473" s="45" t="str">
        <f>IF(ISNUMBER(E473),F473-E473,"N/A")</f>
        <v>N/A</v>
      </c>
      <c r="I473" s="46" t="str">
        <f>IF(E473&lt;&gt;"",IF(F473=E473,"No Change",IF(F473&gt;E473,"Increase","Decrease")),"New")</f>
        <v>Increase</v>
      </c>
      <c r="J473" s="58"/>
      <c r="K473" s="59" t="str">
        <f>IF(LEN(J473)&gt;0,IF(OR(ISLOGICAL(J473),J473="TRUE"),"Yes",""),"")</f>
      </c>
      <c r="L473" s="59"/>
      <c r="M473" s="59"/>
      <c r="N473" s="62" t="str">
        <f>IF(LEN(M473)&gt;0,IF(OR(ISLOGICAL(M473),M473="TRUE"),"Yes",""),"")</f>
      </c>
      <c r="O473" s="59"/>
      <c r="P473" s="62" t="str">
        <f>IF(LEN(O473)&gt;0,IF(OR(ISLOGICAL(O473),O473="TRUE"),"Yes",""),"")</f>
      </c>
      <c r="Q473" s="62" t="s">
        <v>98</v>
      </c>
      <c r="R473" s="63"/>
    </row>
    <row r="474" spans="1:18" s="47" customFormat="1" ht="51">
      <c r="A474" s="63" t="s">
        <v>1022</v>
      </c>
      <c r="B474" s="63" t="s">
        <v>96</v>
      </c>
      <c r="C474" s="63" t="s">
        <v>1023</v>
      </c>
      <c r="D474" s="61"/>
      <c r="E474" s="45">
        <v>0.37</v>
      </c>
      <c r="F474" s="45">
        <v>0.37</v>
      </c>
      <c r="G474" s="66">
        <v>46082</v>
      </c>
      <c r="H474" s="45" t="str">
        <f>IF(ISNUMBER(E474),F474-E474,"N/A")</f>
        <v>N/A</v>
      </c>
      <c r="I474" s="46" t="str">
        <f>IF(E474&lt;&gt;"",IF(F474=E474,"No Change",IF(F474&gt;E474,"Increase","Decrease")),"New")</f>
        <v>Increase</v>
      </c>
      <c r="J474" s="58"/>
      <c r="K474" s="59" t="str">
        <f>IF(LEN(J474)&gt;0,IF(OR(ISLOGICAL(J474),J474="TRUE"),"Yes",""),"")</f>
      </c>
      <c r="L474" s="59"/>
      <c r="M474" s="59"/>
      <c r="N474" s="62" t="str">
        <f>IF(LEN(M474)&gt;0,IF(OR(ISLOGICAL(M474),M474="TRUE"),"Yes",""),"")</f>
      </c>
      <c r="O474" s="59"/>
      <c r="P474" s="62" t="str">
        <f>IF(LEN(O474)&gt;0,IF(OR(ISLOGICAL(O474),O474="TRUE"),"Yes",""),"")</f>
      </c>
      <c r="Q474" s="62" t="s">
        <v>98</v>
      </c>
      <c r="R474" s="63"/>
    </row>
    <row r="475" spans="1:18" s="47" customFormat="1" ht="51">
      <c r="A475" s="63" t="s">
        <v>1024</v>
      </c>
      <c r="B475" s="63" t="s">
        <v>96</v>
      </c>
      <c r="C475" s="63" t="s">
        <v>1025</v>
      </c>
      <c r="D475" s="61"/>
      <c r="E475" s="45">
        <v>0.37</v>
      </c>
      <c r="F475" s="45">
        <v>0.37</v>
      </c>
      <c r="G475" s="66">
        <v>46082</v>
      </c>
      <c r="H475" s="45" t="str">
        <f>IF(ISNUMBER(E475),F475-E475,"N/A")</f>
        <v>N/A</v>
      </c>
      <c r="I475" s="46" t="str">
        <f>IF(E475&lt;&gt;"",IF(F475=E475,"No Change",IF(F475&gt;E475,"Increase","Decrease")),"New")</f>
        <v>Increase</v>
      </c>
      <c r="J475" s="58"/>
      <c r="K475" s="59" t="str">
        <f>IF(LEN(J475)&gt;0,IF(OR(ISLOGICAL(J475),J475="TRUE"),"Yes",""),"")</f>
      </c>
      <c r="L475" s="59"/>
      <c r="M475" s="59"/>
      <c r="N475" s="62" t="str">
        <f>IF(LEN(M475)&gt;0,IF(OR(ISLOGICAL(M475),M475="TRUE"),"Yes",""),"")</f>
      </c>
      <c r="O475" s="59"/>
      <c r="P475" s="62" t="str">
        <f>IF(LEN(O475)&gt;0,IF(OR(ISLOGICAL(O475),O475="TRUE"),"Yes",""),"")</f>
      </c>
      <c r="Q475" s="62" t="s">
        <v>98</v>
      </c>
      <c r="R475" s="63"/>
    </row>
    <row r="476" spans="1:18" s="47" customFormat="1" ht="51">
      <c r="A476" s="63" t="s">
        <v>1026</v>
      </c>
      <c r="B476" s="63" t="s">
        <v>96</v>
      </c>
      <c r="C476" s="63" t="s">
        <v>1027</v>
      </c>
      <c r="D476" s="61"/>
      <c r="E476" s="45">
        <v>0.28</v>
      </c>
      <c r="F476" s="45">
        <v>0.28</v>
      </c>
      <c r="G476" s="66">
        <v>44937</v>
      </c>
      <c r="H476" s="45" t="str">
        <f>IF(ISNUMBER(E476),F476-E476,"N/A")</f>
        <v>N/A</v>
      </c>
      <c r="I476" s="46" t="str">
        <f>IF(E476&lt;&gt;"",IF(F476=E476,"No Change",IF(F476&gt;E476,"Increase","Decrease")),"New")</f>
        <v>Increase</v>
      </c>
      <c r="J476" s="58"/>
      <c r="K476" s="59" t="str">
        <f>IF(LEN(J476)&gt;0,IF(OR(ISLOGICAL(J476),J476="TRUE"),"Yes",""),"")</f>
      </c>
      <c r="L476" s="59"/>
      <c r="M476" s="59"/>
      <c r="N476" s="62" t="str">
        <f>IF(LEN(M476)&gt;0,IF(OR(ISLOGICAL(M476),M476="TRUE"),"Yes",""),"")</f>
      </c>
      <c r="O476" s="59"/>
      <c r="P476" s="62" t="str">
        <f>IF(LEN(O476)&gt;0,IF(OR(ISLOGICAL(O476),O476="TRUE"),"Yes",""),"")</f>
      </c>
      <c r="Q476" s="62" t="s">
        <v>98</v>
      </c>
      <c r="R476" s="63"/>
    </row>
    <row r="477" spans="1:18" s="47" customFormat="1" ht="51">
      <c r="A477" s="63" t="s">
        <v>1028</v>
      </c>
      <c r="B477" s="63" t="s">
        <v>96</v>
      </c>
      <c r="C477" s="63" t="s">
        <v>1029</v>
      </c>
      <c r="D477" s="61"/>
      <c r="E477" s="45">
        <v>0.41</v>
      </c>
      <c r="F477" s="45">
        <v>0.41</v>
      </c>
      <c r="G477" s="66">
        <v>46082</v>
      </c>
      <c r="H477" s="45" t="str">
        <f>IF(ISNUMBER(E477),F477-E477,"N/A")</f>
        <v>N/A</v>
      </c>
      <c r="I477" s="46" t="str">
        <f>IF(E477&lt;&gt;"",IF(F477=E477,"No Change",IF(F477&gt;E477,"Increase","Decrease")),"New")</f>
        <v>Increase</v>
      </c>
      <c r="J477" s="58"/>
      <c r="K477" s="59" t="str">
        <f>IF(LEN(J477)&gt;0,IF(OR(ISLOGICAL(J477),J477="TRUE"),"Yes",""),"")</f>
      </c>
      <c r="L477" s="59"/>
      <c r="M477" s="59"/>
      <c r="N477" s="62" t="str">
        <f>IF(LEN(M477)&gt;0,IF(OR(ISLOGICAL(M477),M477="TRUE"),"Yes",""),"")</f>
      </c>
      <c r="O477" s="59"/>
      <c r="P477" s="62" t="str">
        <f>IF(LEN(O477)&gt;0,IF(OR(ISLOGICAL(O477),O477="TRUE"),"Yes",""),"")</f>
      </c>
      <c r="Q477" s="62" t="s">
        <v>98</v>
      </c>
      <c r="R477" s="63"/>
    </row>
    <row r="478" spans="1:18" s="47" customFormat="1" ht="51">
      <c r="A478" s="63" t="s">
        <v>1030</v>
      </c>
      <c r="B478" s="63" t="s">
        <v>96</v>
      </c>
      <c r="C478" s="63" t="s">
        <v>1031</v>
      </c>
      <c r="D478" s="61"/>
      <c r="E478" s="45">
        <v>0.325</v>
      </c>
      <c r="F478" s="45">
        <v>0.325</v>
      </c>
      <c r="G478" s="66">
        <v>46074</v>
      </c>
      <c r="H478" s="45" t="str">
        <f>IF(ISNUMBER(E478),F478-E478,"N/A")</f>
        <v>N/A</v>
      </c>
      <c r="I478" s="46" t="str">
        <f>IF(E478&lt;&gt;"",IF(F478=E478,"No Change",IF(F478&gt;E478,"Increase","Decrease")),"New")</f>
        <v>Increase</v>
      </c>
      <c r="J478" s="58"/>
      <c r="K478" s="59" t="str">
        <f>IF(LEN(J478)&gt;0,IF(OR(ISLOGICAL(J478),J478="TRUE"),"Yes",""),"")</f>
      </c>
      <c r="L478" s="59"/>
      <c r="M478" s="59"/>
      <c r="N478" s="62" t="str">
        <f>IF(LEN(M478)&gt;0,IF(OR(ISLOGICAL(M478),M478="TRUE"),"Yes",""),"")</f>
      </c>
      <c r="O478" s="59"/>
      <c r="P478" s="62" t="str">
        <f>IF(LEN(O478)&gt;0,IF(OR(ISLOGICAL(O478),O478="TRUE"),"Yes",""),"")</f>
      </c>
      <c r="Q478" s="62" t="s">
        <v>109</v>
      </c>
      <c r="R478" s="63"/>
    </row>
    <row r="479" spans="1:18" s="47" customFormat="1" ht="51">
      <c r="A479" s="63" t="s">
        <v>1032</v>
      </c>
      <c r="B479" s="63" t="s">
        <v>96</v>
      </c>
      <c r="C479" s="63" t="s">
        <v>1033</v>
      </c>
      <c r="D479" s="61"/>
      <c r="E479" s="45">
        <v>0.35</v>
      </c>
      <c r="F479" s="45">
        <v>0.35</v>
      </c>
      <c r="G479" s="66">
        <v>46082</v>
      </c>
      <c r="H479" s="45" t="str">
        <f>IF(ISNUMBER(E479),F479-E479,"N/A")</f>
        <v>N/A</v>
      </c>
      <c r="I479" s="46" t="str">
        <f>IF(E479&lt;&gt;"",IF(F479=E479,"No Change",IF(F479&gt;E479,"Increase","Decrease")),"New")</f>
        <v>Increase</v>
      </c>
      <c r="J479" s="58"/>
      <c r="K479" s="59" t="str">
        <f>IF(LEN(J479)&gt;0,IF(OR(ISLOGICAL(J479),J479="TRUE"),"Yes",""),"")</f>
      </c>
      <c r="L479" s="59"/>
      <c r="M479" s="59"/>
      <c r="N479" s="62" t="str">
        <f>IF(LEN(M479)&gt;0,IF(OR(ISLOGICAL(M479),M479="TRUE"),"Yes",""),"")</f>
      </c>
      <c r="O479" s="59"/>
      <c r="P479" s="62" t="str">
        <f>IF(LEN(O479)&gt;0,IF(OR(ISLOGICAL(O479),O479="TRUE"),"Yes",""),"")</f>
      </c>
      <c r="Q479" s="62" t="s">
        <v>98</v>
      </c>
      <c r="R479" s="63"/>
    </row>
    <row r="480" spans="1:18" s="47" customFormat="1" ht="51">
      <c r="A480" s="63" t="s">
        <v>1034</v>
      </c>
      <c r="B480" s="63" t="s">
        <v>96</v>
      </c>
      <c r="C480" s="63" t="s">
        <v>1035</v>
      </c>
      <c r="D480" s="61"/>
      <c r="E480" s="45">
        <v>0.28</v>
      </c>
      <c r="F480" s="45">
        <v>0.28</v>
      </c>
      <c r="G480" s="66">
        <v>46078</v>
      </c>
      <c r="H480" s="45" t="str">
        <f>IF(ISNUMBER(E480),F480-E480,"N/A")</f>
        <v>N/A</v>
      </c>
      <c r="I480" s="46" t="str">
        <f>IF(E480&lt;&gt;"",IF(F480=E480,"No Change",IF(F480&gt;E480,"Increase","Decrease")),"New")</f>
        <v>Increase</v>
      </c>
      <c r="J480" s="58"/>
      <c r="K480" s="59" t="str">
        <f>IF(LEN(J480)&gt;0,IF(OR(ISLOGICAL(J480),J480="TRUE"),"Yes",""),"")</f>
      </c>
      <c r="L480" s="59"/>
      <c r="M480" s="59"/>
      <c r="N480" s="62" t="str">
        <f>IF(LEN(M480)&gt;0,IF(OR(ISLOGICAL(M480),M480="TRUE"),"Yes",""),"")</f>
      </c>
      <c r="O480" s="59"/>
      <c r="P480" s="62" t="str">
        <f>IF(LEN(O480)&gt;0,IF(OR(ISLOGICAL(O480),O480="TRUE"),"Yes",""),"")</f>
      </c>
      <c r="Q480" s="62" t="s">
        <v>98</v>
      </c>
      <c r="R480" s="63"/>
    </row>
    <row r="481" spans="1:18" s="47" customFormat="1" ht="51">
      <c r="A481" s="63" t="s">
        <v>1036</v>
      </c>
      <c r="B481" s="63" t="s">
        <v>96</v>
      </c>
      <c r="C481" s="63" t="s">
        <v>1037</v>
      </c>
      <c r="D481" s="61"/>
      <c r="E481" s="45">
        <v>0.1995</v>
      </c>
      <c r="F481" s="45">
        <v>0.1995</v>
      </c>
      <c r="G481" s="66">
        <v>46143</v>
      </c>
      <c r="H481" s="45" t="str">
        <f>IF(ISNUMBER(E481),F481-E481,"N/A")</f>
        <v>N/A</v>
      </c>
      <c r="I481" s="46" t="str">
        <f>IF(E481&lt;&gt;"",IF(F481=E481,"No Change",IF(F481&gt;E481,"Increase","Decrease")),"New")</f>
        <v>Increase</v>
      </c>
      <c r="J481" s="58"/>
      <c r="K481" s="59" t="str">
        <f>IF(LEN(J481)&gt;0,IF(OR(ISLOGICAL(J481),J481="TRUE"),"Yes",""),"")</f>
      </c>
      <c r="L481" s="59"/>
      <c r="M481" s="59"/>
      <c r="N481" s="62" t="str">
        <f>IF(LEN(M481)&gt;0,IF(OR(ISLOGICAL(M481),M481="TRUE"),"Yes",""),"")</f>
      </c>
      <c r="O481" s="59"/>
      <c r="P481" s="62" t="str">
        <f>IF(LEN(O481)&gt;0,IF(OR(ISLOGICAL(O481),O481="TRUE"),"Yes",""),"")</f>
      </c>
      <c r="Q481" s="62" t="s">
        <v>98</v>
      </c>
      <c r="R481" s="63"/>
    </row>
    <row r="482" spans="1:18" s="47" customFormat="1" ht="51">
      <c r="A482" s="63" t="s">
        <v>1038</v>
      </c>
      <c r="B482" s="63" t="s">
        <v>96</v>
      </c>
      <c r="C482" s="63" t="s">
        <v>1039</v>
      </c>
      <c r="D482" s="61"/>
      <c r="E482" s="45">
        <v>0.156</v>
      </c>
      <c r="F482" s="45">
        <v>0.156</v>
      </c>
      <c r="G482" s="66">
        <v>46143</v>
      </c>
      <c r="H482" s="45" t="str">
        <f>IF(ISNUMBER(E482),F482-E482,"N/A")</f>
        <v>N/A</v>
      </c>
      <c r="I482" s="46" t="str">
        <f>IF(E482&lt;&gt;"",IF(F482=E482,"No Change",IF(F482&gt;E482,"Increase","Decrease")),"New")</f>
        <v>Increase</v>
      </c>
      <c r="J482" s="58"/>
      <c r="K482" s="59" t="str">
        <f>IF(LEN(J482)&gt;0,IF(OR(ISLOGICAL(J482),J482="TRUE"),"Yes",""),"")</f>
      </c>
      <c r="L482" s="59"/>
      <c r="M482" s="59"/>
      <c r="N482" s="62" t="str">
        <f>IF(LEN(M482)&gt;0,IF(OR(ISLOGICAL(M482),M482="TRUE"),"Yes",""),"")</f>
      </c>
      <c r="O482" s="59"/>
      <c r="P482" s="62" t="str">
        <f>IF(LEN(O482)&gt;0,IF(OR(ISLOGICAL(O482),O482="TRUE"),"Yes",""),"")</f>
      </c>
      <c r="Q482" s="62" t="s">
        <v>98</v>
      </c>
      <c r="R482" s="63"/>
    </row>
    <row r="483" spans="1:18" s="47" customFormat="1" ht="51">
      <c r="A483" s="63" t="s">
        <v>1040</v>
      </c>
      <c r="B483" s="63" t="s">
        <v>96</v>
      </c>
      <c r="C483" s="63" t="s">
        <v>1041</v>
      </c>
      <c r="D483" s="61"/>
      <c r="E483" s="45">
        <v>0.192</v>
      </c>
      <c r="F483" s="45">
        <v>0.192</v>
      </c>
      <c r="G483" s="66">
        <v>46143</v>
      </c>
      <c r="H483" s="45" t="str">
        <f>IF(ISNUMBER(E483),F483-E483,"N/A")</f>
        <v>N/A</v>
      </c>
      <c r="I483" s="46" t="str">
        <f>IF(E483&lt;&gt;"",IF(F483=E483,"No Change",IF(F483&gt;E483,"Increase","Decrease")),"New")</f>
        <v>Increase</v>
      </c>
      <c r="J483" s="58"/>
      <c r="K483" s="59" t="str">
        <f>IF(LEN(J483)&gt;0,IF(OR(ISLOGICAL(J483),J483="TRUE"),"Yes",""),"")</f>
      </c>
      <c r="L483" s="59"/>
      <c r="M483" s="59"/>
      <c r="N483" s="62" t="str">
        <f>IF(LEN(M483)&gt;0,IF(OR(ISLOGICAL(M483),M483="TRUE"),"Yes",""),"")</f>
      </c>
      <c r="O483" s="59"/>
      <c r="P483" s="62" t="str">
        <f>IF(LEN(O483)&gt;0,IF(OR(ISLOGICAL(O483),O483="TRUE"),"Yes",""),"")</f>
      </c>
      <c r="Q483" s="62" t="s">
        <v>98</v>
      </c>
      <c r="R483" s="63"/>
    </row>
    <row r="484" spans="1:18" s="47" customFormat="1" ht="51">
      <c r="A484" s="63" t="s">
        <v>1042</v>
      </c>
      <c r="B484" s="63" t="s">
        <v>96</v>
      </c>
      <c r="C484" s="63" t="s">
        <v>1043</v>
      </c>
      <c r="D484" s="61"/>
      <c r="E484" s="45">
        <v>0.27</v>
      </c>
      <c r="F484" s="45">
        <v>0.27</v>
      </c>
      <c r="G484" s="66">
        <v>46085</v>
      </c>
      <c r="H484" s="45" t="str">
        <f>IF(ISNUMBER(E484),F484-E484,"N/A")</f>
        <v>N/A</v>
      </c>
      <c r="I484" s="46" t="str">
        <f>IF(E484&lt;&gt;"",IF(F484=E484,"No Change",IF(F484&gt;E484,"Increase","Decrease")),"New")</f>
        <v>Increase</v>
      </c>
      <c r="J484" s="58"/>
      <c r="K484" s="59" t="str">
        <f>IF(LEN(J484)&gt;0,IF(OR(ISLOGICAL(J484),J484="TRUE"),"Yes",""),"")</f>
      </c>
      <c r="L484" s="59"/>
      <c r="M484" s="59"/>
      <c r="N484" s="62" t="str">
        <f>IF(LEN(M484)&gt;0,IF(OR(ISLOGICAL(M484),M484="TRUE"),"Yes",""),"")</f>
      </c>
      <c r="O484" s="59"/>
      <c r="P484" s="62" t="str">
        <f>IF(LEN(O484)&gt;0,IF(OR(ISLOGICAL(O484),O484="TRUE"),"Yes",""),"")</f>
      </c>
      <c r="Q484" s="62" t="s">
        <v>109</v>
      </c>
      <c r="R484" s="63"/>
    </row>
    <row r="485" spans="1:18" s="47" customFormat="1" ht="51">
      <c r="A485" s="63" t="s">
        <v>1044</v>
      </c>
      <c r="B485" s="63" t="s">
        <v>96</v>
      </c>
      <c r="C485" s="63" t="s">
        <v>1045</v>
      </c>
      <c r="D485" s="61"/>
      <c r="E485" s="45">
        <v>0.27</v>
      </c>
      <c r="F485" s="45">
        <v>0.27</v>
      </c>
      <c r="G485" s="66">
        <v>45952</v>
      </c>
      <c r="H485" s="45" t="str">
        <f>IF(ISNUMBER(E485),F485-E485,"N/A")</f>
        <v>N/A</v>
      </c>
      <c r="I485" s="46" t="str">
        <f>IF(E485&lt;&gt;"",IF(F485=E485,"No Change",IF(F485&gt;E485,"Increase","Decrease")),"New")</f>
        <v>Increase</v>
      </c>
      <c r="J485" s="58" t="s">
        <v>122</v>
      </c>
      <c r="K485" s="59" t="str">
        <f>IF(LEN(J485)&gt;0,IF(OR(ISLOGICAL(J485),J485="TRUE"),"Yes",""),"")</f>
      </c>
      <c r="L485" s="59"/>
      <c r="M485" s="59"/>
      <c r="N485" s="62" t="str">
        <f>IF(LEN(M485)&gt;0,IF(OR(ISLOGICAL(M485),M485="TRUE"),"Yes",""),"")</f>
      </c>
      <c r="O485" s="59"/>
      <c r="P485" s="62" t="str">
        <f>IF(LEN(O485)&gt;0,IF(OR(ISLOGICAL(O485),O485="TRUE"),"Yes",""),"")</f>
      </c>
      <c r="Q485" s="62" t="s">
        <v>109</v>
      </c>
      <c r="R485" s="63"/>
    </row>
    <row r="486" spans="1:18" s="47" customFormat="1" ht="51">
      <c r="A486" s="63" t="s">
        <v>1046</v>
      </c>
      <c r="B486" s="63" t="s">
        <v>96</v>
      </c>
      <c r="C486" s="63" t="s">
        <v>1047</v>
      </c>
      <c r="D486" s="61"/>
      <c r="E486" s="45">
        <v>0.26</v>
      </c>
      <c r="F486" s="45">
        <v>0.26</v>
      </c>
      <c r="G486" s="66">
        <v>46078</v>
      </c>
      <c r="H486" s="45" t="str">
        <f>IF(ISNUMBER(E486),F486-E486,"N/A")</f>
        <v>N/A</v>
      </c>
      <c r="I486" s="46" t="str">
        <f>IF(E486&lt;&gt;"",IF(F486=E486,"No Change",IF(F486&gt;E486,"Increase","Decrease")),"New")</f>
        <v>Increase</v>
      </c>
      <c r="J486" s="58"/>
      <c r="K486" s="59" t="str">
        <f>IF(LEN(J486)&gt;0,IF(OR(ISLOGICAL(J486),J486="TRUE"),"Yes",""),"")</f>
      </c>
      <c r="L486" s="59"/>
      <c r="M486" s="59"/>
      <c r="N486" s="62" t="str">
        <f>IF(LEN(M486)&gt;0,IF(OR(ISLOGICAL(M486),M486="TRUE"),"Yes",""),"")</f>
      </c>
      <c r="O486" s="59"/>
      <c r="P486" s="62" t="str">
        <f>IF(LEN(O486)&gt;0,IF(OR(ISLOGICAL(O486),O486="TRUE"),"Yes",""),"")</f>
      </c>
      <c r="Q486" s="62" t="s">
        <v>109</v>
      </c>
      <c r="R486" s="63"/>
    </row>
    <row r="487" spans="1:18" s="47" customFormat="1" ht="51">
      <c r="A487" s="63" t="s">
        <v>1048</v>
      </c>
      <c r="B487" s="63" t="s">
        <v>96</v>
      </c>
      <c r="C487" s="63" t="s">
        <v>1049</v>
      </c>
      <c r="D487" s="61"/>
      <c r="E487" s="45">
        <v>0.27</v>
      </c>
      <c r="F487" s="45">
        <v>0.27</v>
      </c>
      <c r="G487" s="66">
        <v>46082</v>
      </c>
      <c r="H487" s="45" t="str">
        <f>IF(ISNUMBER(E487),F487-E487,"N/A")</f>
        <v>N/A</v>
      </c>
      <c r="I487" s="46" t="str">
        <f>IF(E487&lt;&gt;"",IF(F487=E487,"No Change",IF(F487&gt;E487,"Increase","Decrease")),"New")</f>
        <v>Increase</v>
      </c>
      <c r="J487" s="58"/>
      <c r="K487" s="59" t="str">
        <f>IF(LEN(J487)&gt;0,IF(OR(ISLOGICAL(J487),J487="TRUE"),"Yes",""),"")</f>
      </c>
      <c r="L487" s="59"/>
      <c r="M487" s="59"/>
      <c r="N487" s="62" t="str">
        <f>IF(LEN(M487)&gt;0,IF(OR(ISLOGICAL(M487),M487="TRUE"),"Yes",""),"")</f>
      </c>
      <c r="O487" s="59"/>
      <c r="P487" s="62" t="str">
        <f>IF(LEN(O487)&gt;0,IF(OR(ISLOGICAL(O487),O487="TRUE"),"Yes",""),"")</f>
      </c>
      <c r="Q487" s="62" t="s">
        <v>109</v>
      </c>
      <c r="R487" s="63"/>
    </row>
    <row r="488" spans="1:18" s="47" customFormat="1" ht="51">
      <c r="A488" s="63" t="s">
        <v>1050</v>
      </c>
      <c r="B488" s="63" t="s">
        <v>96</v>
      </c>
      <c r="C488" s="63" t="s">
        <v>1051</v>
      </c>
      <c r="D488" s="61"/>
      <c r="E488" s="45">
        <v>0.27</v>
      </c>
      <c r="F488" s="45">
        <v>0.27</v>
      </c>
      <c r="G488" s="66">
        <v>46082</v>
      </c>
      <c r="H488" s="45" t="str">
        <f>IF(ISNUMBER(E488),F488-E488,"N/A")</f>
        <v>N/A</v>
      </c>
      <c r="I488" s="46" t="str">
        <f>IF(E488&lt;&gt;"",IF(F488=E488,"No Change",IF(F488&gt;E488,"Increase","Decrease")),"New")</f>
        <v>Increase</v>
      </c>
      <c r="J488" s="58"/>
      <c r="K488" s="59" t="str">
        <f>IF(LEN(J488)&gt;0,IF(OR(ISLOGICAL(J488),J488="TRUE"),"Yes",""),"")</f>
      </c>
      <c r="L488" s="59"/>
      <c r="M488" s="59"/>
      <c r="N488" s="62" t="str">
        <f>IF(LEN(M488)&gt;0,IF(OR(ISLOGICAL(M488),M488="TRUE"),"Yes",""),"")</f>
      </c>
      <c r="O488" s="59"/>
      <c r="P488" s="62" t="str">
        <f>IF(LEN(O488)&gt;0,IF(OR(ISLOGICAL(O488),O488="TRUE"),"Yes",""),"")</f>
      </c>
      <c r="Q488" s="62" t="s">
        <v>109</v>
      </c>
      <c r="R488" s="63"/>
    </row>
    <row r="489" spans="1:18" s="47" customFormat="1" ht="51">
      <c r="A489" s="63" t="s">
        <v>1052</v>
      </c>
      <c r="B489" s="63" t="s">
        <v>96</v>
      </c>
      <c r="C489" s="63" t="s">
        <v>1053</v>
      </c>
      <c r="D489" s="61"/>
      <c r="E489" s="45">
        <v>0.0033</v>
      </c>
      <c r="F489" s="45">
        <v>0.0033</v>
      </c>
      <c r="G489" s="66">
        <v>45931</v>
      </c>
      <c r="H489" s="45" t="str">
        <f>IF(ISNUMBER(E489),F489-E489,"N/A")</f>
        <v>N/A</v>
      </c>
      <c r="I489" s="46" t="str">
        <f>IF(E489&lt;&gt;"",IF(F489=E489,"No Change",IF(F489&gt;E489,"Increase","Decrease")),"New")</f>
        <v>Increase</v>
      </c>
      <c r="J489" s="58"/>
      <c r="K489" s="59" t="str">
        <f>IF(LEN(J489)&gt;0,IF(OR(ISLOGICAL(J489),J489="TRUE"),"Yes",""),"")</f>
      </c>
      <c r="L489" s="59"/>
      <c r="M489" s="59"/>
      <c r="N489" s="62" t="str">
        <f>IF(LEN(M489)&gt;0,IF(OR(ISLOGICAL(M489),M489="TRUE"),"Yes",""),"")</f>
      </c>
      <c r="O489" s="59"/>
      <c r="P489" s="62" t="str">
        <f>IF(LEN(O489)&gt;0,IF(OR(ISLOGICAL(O489),O489="TRUE"),"Yes",""),"")</f>
      </c>
      <c r="Q489" s="62" t="s">
        <v>98</v>
      </c>
      <c r="R489" s="63"/>
    </row>
    <row r="490" spans="1:18" s="47" customFormat="1" ht="51">
      <c r="A490" s="63" t="s">
        <v>1054</v>
      </c>
      <c r="B490" s="63" t="s">
        <v>96</v>
      </c>
      <c r="C490" s="63" t="s">
        <v>1055</v>
      </c>
      <c r="D490" s="61"/>
      <c r="E490" s="45">
        <v>0.113</v>
      </c>
      <c r="F490" s="45">
        <v>0.113</v>
      </c>
      <c r="G490" s="66">
        <v>46078</v>
      </c>
      <c r="H490" s="45" t="str">
        <f>IF(ISNUMBER(E490),F490-E490,"N/A")</f>
        <v>N/A</v>
      </c>
      <c r="I490" s="46" t="str">
        <f>IF(E490&lt;&gt;"",IF(F490=E490,"No Change",IF(F490&gt;E490,"Increase","Decrease")),"New")</f>
        <v>Increase</v>
      </c>
      <c r="J490" s="58"/>
      <c r="K490" s="59" t="str">
        <f>IF(LEN(J490)&gt;0,IF(OR(ISLOGICAL(J490),J490="TRUE"),"Yes",""),"")</f>
      </c>
      <c r="L490" s="59"/>
      <c r="M490" s="59"/>
      <c r="N490" s="62" t="str">
        <f>IF(LEN(M490)&gt;0,IF(OR(ISLOGICAL(M490),M490="TRUE"),"Yes",""),"")</f>
      </c>
      <c r="O490" s="59"/>
      <c r="P490" s="62" t="str">
        <f>IF(LEN(O490)&gt;0,IF(OR(ISLOGICAL(O490),O490="TRUE"),"Yes",""),"")</f>
      </c>
      <c r="Q490" s="62" t="s">
        <v>98</v>
      </c>
      <c r="R490" s="63"/>
    </row>
    <row r="491" spans="1:18" s="47" customFormat="1" ht="51">
      <c r="A491" s="63" t="s">
        <v>1056</v>
      </c>
      <c r="B491" s="63" t="s">
        <v>96</v>
      </c>
      <c r="C491" s="63" t="s">
        <v>1057</v>
      </c>
      <c r="D491" s="61"/>
      <c r="E491" s="45">
        <v>0.126</v>
      </c>
      <c r="F491" s="45">
        <v>0.126</v>
      </c>
      <c r="G491" s="66">
        <v>45588</v>
      </c>
      <c r="H491" s="45" t="str">
        <f>IF(ISNUMBER(E491),F491-E491,"N/A")</f>
        <v>N/A</v>
      </c>
      <c r="I491" s="46" t="str">
        <f>IF(E491&lt;&gt;"",IF(F491=E491,"No Change",IF(F491&gt;E491,"Increase","Decrease")),"New")</f>
        <v>Increase</v>
      </c>
      <c r="J491" s="58" t="s">
        <v>122</v>
      </c>
      <c r="K491" s="59" t="str">
        <f>IF(LEN(J491)&gt;0,IF(OR(ISLOGICAL(J491),J491="TRUE"),"Yes",""),"")</f>
      </c>
      <c r="L491" s="59"/>
      <c r="M491" s="59"/>
      <c r="N491" s="62" t="str">
        <f>IF(LEN(M491)&gt;0,IF(OR(ISLOGICAL(M491),M491="TRUE"),"Yes",""),"")</f>
      </c>
      <c r="O491" s="59"/>
      <c r="P491" s="62" t="str">
        <f>IF(LEN(O491)&gt;0,IF(OR(ISLOGICAL(O491),O491="TRUE"),"Yes",""),"")</f>
      </c>
      <c r="Q491" s="62" t="s">
        <v>98</v>
      </c>
      <c r="R491" s="63"/>
    </row>
    <row r="492" spans="1:18" s="47" customFormat="1" ht="51">
      <c r="A492" s="63" t="s">
        <v>1058</v>
      </c>
      <c r="B492" s="63" t="s">
        <v>96</v>
      </c>
      <c r="C492" s="63" t="s">
        <v>1059</v>
      </c>
      <c r="D492" s="61"/>
      <c r="E492" s="45">
        <v>0.113</v>
      </c>
      <c r="F492" s="45">
        <v>0.113</v>
      </c>
      <c r="G492" s="66">
        <v>46092</v>
      </c>
      <c r="H492" s="45" t="str">
        <f>IF(ISNUMBER(E492),F492-E492,"N/A")</f>
        <v>N/A</v>
      </c>
      <c r="I492" s="46" t="str">
        <f>IF(E492&lt;&gt;"",IF(F492=E492,"No Change",IF(F492&gt;E492,"Increase","Decrease")),"New")</f>
        <v>Increase</v>
      </c>
      <c r="J492" s="58"/>
      <c r="K492" s="59" t="str">
        <f>IF(LEN(J492)&gt;0,IF(OR(ISLOGICAL(J492),J492="TRUE"),"Yes",""),"")</f>
      </c>
      <c r="L492" s="59"/>
      <c r="M492" s="59"/>
      <c r="N492" s="62" t="str">
        <f>IF(LEN(M492)&gt;0,IF(OR(ISLOGICAL(M492),M492="TRUE"),"Yes",""),"")</f>
      </c>
      <c r="O492" s="59"/>
      <c r="P492" s="62" t="str">
        <f>IF(LEN(O492)&gt;0,IF(OR(ISLOGICAL(O492),O492="TRUE"),"Yes",""),"")</f>
      </c>
      <c r="Q492" s="62" t="s">
        <v>98</v>
      </c>
      <c r="R492" s="63"/>
    </row>
    <row r="493" spans="1:18" s="47" customFormat="1" ht="51">
      <c r="A493" s="63" t="s">
        <v>1060</v>
      </c>
      <c r="B493" s="63" t="s">
        <v>96</v>
      </c>
      <c r="C493" s="63" t="s">
        <v>1061</v>
      </c>
      <c r="D493" s="61"/>
      <c r="E493" s="45">
        <v>0.113</v>
      </c>
      <c r="F493" s="45">
        <v>0.113</v>
      </c>
      <c r="G493" s="66">
        <v>45595</v>
      </c>
      <c r="H493" s="45" t="str">
        <f>IF(ISNUMBER(E493),F493-E493,"N/A")</f>
        <v>N/A</v>
      </c>
      <c r="I493" s="46" t="str">
        <f>IF(E493&lt;&gt;"",IF(F493=E493,"No Change",IF(F493&gt;E493,"Increase","Decrease")),"New")</f>
        <v>Increase</v>
      </c>
      <c r="J493" s="58" t="s">
        <v>122</v>
      </c>
      <c r="K493" s="59" t="str">
        <f>IF(LEN(J493)&gt;0,IF(OR(ISLOGICAL(J493),J493="TRUE"),"Yes",""),"")</f>
      </c>
      <c r="L493" s="59"/>
      <c r="M493" s="59"/>
      <c r="N493" s="62" t="str">
        <f>IF(LEN(M493)&gt;0,IF(OR(ISLOGICAL(M493),M493="TRUE"),"Yes",""),"")</f>
      </c>
      <c r="O493" s="59"/>
      <c r="P493" s="62" t="str">
        <f>IF(LEN(O493)&gt;0,IF(OR(ISLOGICAL(O493),O493="TRUE"),"Yes",""),"")</f>
      </c>
      <c r="Q493" s="62" t="s">
        <v>98</v>
      </c>
      <c r="R493" s="63"/>
    </row>
    <row r="494" spans="1:18" s="47" customFormat="1" ht="51">
      <c r="A494" s="63" t="s">
        <v>1062</v>
      </c>
      <c r="B494" s="63" t="s">
        <v>96</v>
      </c>
      <c r="C494" s="63" t="s">
        <v>1063</v>
      </c>
      <c r="D494" s="61"/>
      <c r="E494" s="45">
        <v>0.113</v>
      </c>
      <c r="F494" s="45">
        <v>0.113</v>
      </c>
      <c r="G494" s="66">
        <v>46082</v>
      </c>
      <c r="H494" s="45" t="str">
        <f>IF(ISNUMBER(E494),F494-E494,"N/A")</f>
        <v>N/A</v>
      </c>
      <c r="I494" s="46" t="str">
        <f>IF(E494&lt;&gt;"",IF(F494=E494,"No Change",IF(F494&gt;E494,"Increase","Decrease")),"New")</f>
        <v>Increase</v>
      </c>
      <c r="J494" s="58"/>
      <c r="K494" s="59" t="str">
        <f>IF(LEN(J494)&gt;0,IF(OR(ISLOGICAL(J494),J494="TRUE"),"Yes",""),"")</f>
      </c>
      <c r="L494" s="59"/>
      <c r="M494" s="59"/>
      <c r="N494" s="62" t="str">
        <f>IF(LEN(M494)&gt;0,IF(OR(ISLOGICAL(M494),M494="TRUE"),"Yes",""),"")</f>
      </c>
      <c r="O494" s="59"/>
      <c r="P494" s="62" t="str">
        <f>IF(LEN(O494)&gt;0,IF(OR(ISLOGICAL(O494),O494="TRUE"),"Yes",""),"")</f>
      </c>
      <c r="Q494" s="62" t="s">
        <v>98</v>
      </c>
      <c r="R494" s="63"/>
    </row>
    <row r="495" spans="1:18" s="47" customFormat="1" ht="51">
      <c r="A495" s="63" t="s">
        <v>1064</v>
      </c>
      <c r="B495" s="63" t="s">
        <v>96</v>
      </c>
      <c r="C495" s="63" t="s">
        <v>1065</v>
      </c>
      <c r="D495" s="61"/>
      <c r="E495" s="45">
        <v>0.113</v>
      </c>
      <c r="F495" s="45">
        <v>0.113</v>
      </c>
      <c r="G495" s="66">
        <v>46082</v>
      </c>
      <c r="H495" s="45" t="str">
        <f>IF(ISNUMBER(E495),F495-E495,"N/A")</f>
        <v>N/A</v>
      </c>
      <c r="I495" s="46" t="str">
        <f>IF(E495&lt;&gt;"",IF(F495=E495,"No Change",IF(F495&gt;E495,"Increase","Decrease")),"New")</f>
        <v>Increase</v>
      </c>
      <c r="J495" s="58"/>
      <c r="K495" s="59" t="str">
        <f>IF(LEN(J495)&gt;0,IF(OR(ISLOGICAL(J495),J495="TRUE"),"Yes",""),"")</f>
      </c>
      <c r="L495" s="59"/>
      <c r="M495" s="59"/>
      <c r="N495" s="62" t="str">
        <f>IF(LEN(M495)&gt;0,IF(OR(ISLOGICAL(M495),M495="TRUE"),"Yes",""),"")</f>
      </c>
      <c r="O495" s="59"/>
      <c r="P495" s="62" t="str">
        <f>IF(LEN(O495)&gt;0,IF(OR(ISLOGICAL(O495),O495="TRUE"),"Yes",""),"")</f>
      </c>
      <c r="Q495" s="62" t="s">
        <v>98</v>
      </c>
      <c r="R495" s="63"/>
    </row>
    <row r="496" spans="1:18" s="47" customFormat="1" ht="51">
      <c r="A496" s="63" t="s">
        <v>1066</v>
      </c>
      <c r="B496" s="63" t="s">
        <v>96</v>
      </c>
      <c r="C496" s="63" t="s">
        <v>1067</v>
      </c>
      <c r="D496" s="61"/>
      <c r="E496" s="45">
        <v>0.1</v>
      </c>
      <c r="F496" s="45">
        <v>0.1</v>
      </c>
      <c r="G496" s="66">
        <v>46113</v>
      </c>
      <c r="H496" s="45" t="str">
        <f>IF(ISNUMBER(E496),F496-E496,"N/A")</f>
        <v>N/A</v>
      </c>
      <c r="I496" s="46" t="str">
        <f>IF(E496&lt;&gt;"",IF(F496=E496,"No Change",IF(F496&gt;E496,"Increase","Decrease")),"New")</f>
        <v>Increase</v>
      </c>
      <c r="J496" s="58"/>
      <c r="K496" s="59" t="str">
        <f>IF(LEN(J496)&gt;0,IF(OR(ISLOGICAL(J496),J496="TRUE"),"Yes",""),"")</f>
      </c>
      <c r="L496" s="59"/>
      <c r="M496" s="59"/>
      <c r="N496" s="62" t="str">
        <f>IF(LEN(M496)&gt;0,IF(OR(ISLOGICAL(M496),M496="TRUE"),"Yes",""),"")</f>
      </c>
      <c r="O496" s="59"/>
      <c r="P496" s="62" t="str">
        <f>IF(LEN(O496)&gt;0,IF(OR(ISLOGICAL(O496),O496="TRUE"),"Yes",""),"")</f>
      </c>
      <c r="Q496" s="62" t="s">
        <v>98</v>
      </c>
      <c r="R496" s="63"/>
    </row>
    <row r="497" spans="1:18" s="47" customFormat="1" ht="51">
      <c r="A497" s="63" t="s">
        <v>1068</v>
      </c>
      <c r="B497" s="63" t="s">
        <v>96</v>
      </c>
      <c r="C497" s="63" t="s">
        <v>1069</v>
      </c>
      <c r="D497" s="61"/>
      <c r="E497" s="45">
        <v>0.1</v>
      </c>
      <c r="F497" s="45">
        <v>0.1</v>
      </c>
      <c r="G497" s="66">
        <v>46113</v>
      </c>
      <c r="H497" s="45" t="str">
        <f>IF(ISNUMBER(E497),F497-E497,"N/A")</f>
        <v>N/A</v>
      </c>
      <c r="I497" s="46" t="str">
        <f>IF(E497&lt;&gt;"",IF(F497=E497,"No Change",IF(F497&gt;E497,"Increase","Decrease")),"New")</f>
        <v>Increase</v>
      </c>
      <c r="J497" s="58" t="s">
        <v>122</v>
      </c>
      <c r="K497" s="59" t="str">
        <f>IF(LEN(J497)&gt;0,IF(OR(ISLOGICAL(J497),J497="TRUE"),"Yes",""),"")</f>
      </c>
      <c r="L497" s="59"/>
      <c r="M497" s="59"/>
      <c r="N497" s="62" t="str">
        <f>IF(LEN(M497)&gt;0,IF(OR(ISLOGICAL(M497),M497="TRUE"),"Yes",""),"")</f>
      </c>
      <c r="O497" s="59"/>
      <c r="P497" s="62" t="str">
        <f>IF(LEN(O497)&gt;0,IF(OR(ISLOGICAL(O497),O497="TRUE"),"Yes",""),"")</f>
      </c>
      <c r="Q497" s="62" t="s">
        <v>98</v>
      </c>
      <c r="R497" s="63"/>
    </row>
    <row r="498" spans="1:18" s="47" customFormat="1" ht="51">
      <c r="A498" s="63" t="s">
        <v>1070</v>
      </c>
      <c r="B498" s="63" t="s">
        <v>96</v>
      </c>
      <c r="C498" s="63" t="s">
        <v>1071</v>
      </c>
      <c r="D498" s="61"/>
      <c r="E498" s="45">
        <v>0.0362</v>
      </c>
      <c r="F498" s="45">
        <v>0.0362</v>
      </c>
      <c r="G498" s="66">
        <v>46092</v>
      </c>
      <c r="H498" s="45" t="str">
        <f>IF(ISNUMBER(E498),F498-E498,"N/A")</f>
        <v>N/A</v>
      </c>
      <c r="I498" s="46" t="str">
        <f>IF(E498&lt;&gt;"",IF(F498=E498,"No Change",IF(F498&gt;E498,"Increase","Decrease")),"New")</f>
        <v>Increase</v>
      </c>
      <c r="J498" s="58"/>
      <c r="K498" s="59" t="str">
        <f>IF(LEN(J498)&gt;0,IF(OR(ISLOGICAL(J498),J498="TRUE"),"Yes",""),"")</f>
      </c>
      <c r="L498" s="59"/>
      <c r="M498" s="59"/>
      <c r="N498" s="62" t="str">
        <f>IF(LEN(M498)&gt;0,IF(OR(ISLOGICAL(M498),M498="TRUE"),"Yes",""),"")</f>
      </c>
      <c r="O498" s="59"/>
      <c r="P498" s="62" t="str">
        <f>IF(LEN(O498)&gt;0,IF(OR(ISLOGICAL(O498),O498="TRUE"),"Yes",""),"")</f>
      </c>
      <c r="Q498" s="62" t="s">
        <v>98</v>
      </c>
      <c r="R498" s="63"/>
    </row>
    <row r="499" spans="1:18" s="47" customFormat="1" ht="51">
      <c r="A499" s="63" t="s">
        <v>1072</v>
      </c>
      <c r="B499" s="63" t="s">
        <v>96</v>
      </c>
      <c r="C499" s="63" t="s">
        <v>1073</v>
      </c>
      <c r="D499" s="61"/>
      <c r="E499" s="45">
        <v>0.0345</v>
      </c>
      <c r="F499" s="45">
        <v>0.054</v>
      </c>
      <c r="G499" s="66">
        <v>46148</v>
      </c>
      <c r="H499" s="45" t="str">
        <f>IF(ISNUMBER(E499),F499-E499,"N/A")</f>
        <v>N/A</v>
      </c>
      <c r="I499" s="46" t="str">
        <f>IF(E499&lt;&gt;"",IF(F499=E499,"No Change",IF(F499&gt;E499,"Increase","Decrease")),"New")</f>
        <v>Increase</v>
      </c>
      <c r="J499" s="58"/>
      <c r="K499" s="59" t="str">
        <f>IF(LEN(J499)&gt;0,IF(OR(ISLOGICAL(J499),J499="TRUE"),"Yes",""),"")</f>
      </c>
      <c r="L499" s="59"/>
      <c r="M499" s="59"/>
      <c r="N499" s="62" t="str">
        <f>IF(LEN(M499)&gt;0,IF(OR(ISLOGICAL(M499),M499="TRUE"),"Yes",""),"")</f>
      </c>
      <c r="O499" s="59"/>
      <c r="P499" s="62" t="str">
        <f>IF(LEN(O499)&gt;0,IF(OR(ISLOGICAL(O499),O499="TRUE"),"Yes",""),"")</f>
      </c>
      <c r="Q499" s="62" t="s">
        <v>98</v>
      </c>
      <c r="R499" s="63"/>
    </row>
    <row r="500" spans="1:18" s="47" customFormat="1" ht="51">
      <c r="A500" s="63" t="s">
        <v>1074</v>
      </c>
      <c r="B500" s="63" t="s">
        <v>96</v>
      </c>
      <c r="C500" s="63" t="s">
        <v>1075</v>
      </c>
      <c r="D500" s="61"/>
      <c r="E500" s="45">
        <v>0.0345</v>
      </c>
      <c r="F500" s="45">
        <v>0.054</v>
      </c>
      <c r="G500" s="66">
        <v>46148</v>
      </c>
      <c r="H500" s="45" t="str">
        <f>IF(ISNUMBER(E500),F500-E500,"N/A")</f>
        <v>N/A</v>
      </c>
      <c r="I500" s="46" t="str">
        <f>IF(E500&lt;&gt;"",IF(F500=E500,"No Change",IF(F500&gt;E500,"Increase","Decrease")),"New")</f>
        <v>Increase</v>
      </c>
      <c r="J500" s="58" t="s">
        <v>122</v>
      </c>
      <c r="K500" s="59" t="str">
        <f>IF(LEN(J500)&gt;0,IF(OR(ISLOGICAL(J500),J500="TRUE"),"Yes",""),"")</f>
      </c>
      <c r="L500" s="59"/>
      <c r="M500" s="59"/>
      <c r="N500" s="62" t="str">
        <f>IF(LEN(M500)&gt;0,IF(OR(ISLOGICAL(M500),M500="TRUE"),"Yes",""),"")</f>
      </c>
      <c r="O500" s="59"/>
      <c r="P500" s="62" t="str">
        <f>IF(LEN(O500)&gt;0,IF(OR(ISLOGICAL(O500),O500="TRUE"),"Yes",""),"")</f>
      </c>
      <c r="Q500" s="62" t="s">
        <v>98</v>
      </c>
      <c r="R500" s="63"/>
    </row>
    <row r="501" spans="1:18" s="47" customFormat="1" ht="51">
      <c r="A501" s="63" t="s">
        <v>1076</v>
      </c>
      <c r="B501" s="63" t="s">
        <v>96</v>
      </c>
      <c r="C501" s="63" t="s">
        <v>1077</v>
      </c>
      <c r="D501" s="61"/>
      <c r="E501" s="45">
        <v>0.0345</v>
      </c>
      <c r="F501" s="45">
        <v>0.054</v>
      </c>
      <c r="G501" s="66">
        <v>46148</v>
      </c>
      <c r="H501" s="45" t="str">
        <f>IF(ISNUMBER(E501),F501-E501,"N/A")</f>
        <v>N/A</v>
      </c>
      <c r="I501" s="46" t="str">
        <f>IF(E501&lt;&gt;"",IF(F501=E501,"No Change",IF(F501&gt;E501,"Increase","Decrease")),"New")</f>
        <v>Increase</v>
      </c>
      <c r="J501" s="58" t="s">
        <v>122</v>
      </c>
      <c r="K501" s="59" t="str">
        <f>IF(LEN(J501)&gt;0,IF(OR(ISLOGICAL(J501),J501="TRUE"),"Yes",""),"")</f>
      </c>
      <c r="L501" s="59"/>
      <c r="M501" s="59"/>
      <c r="N501" s="62" t="str">
        <f>IF(LEN(M501)&gt;0,IF(OR(ISLOGICAL(M501),M501="TRUE"),"Yes",""),"")</f>
      </c>
      <c r="O501" s="59"/>
      <c r="P501" s="62" t="str">
        <f>IF(LEN(O501)&gt;0,IF(OR(ISLOGICAL(O501),O501="TRUE"),"Yes",""),"")</f>
      </c>
      <c r="Q501" s="62" t="s">
        <v>98</v>
      </c>
      <c r="R501" s="63"/>
    </row>
    <row r="502" spans="1:18" s="47" customFormat="1" ht="51">
      <c r="A502" s="63" t="s">
        <v>1078</v>
      </c>
      <c r="B502" s="63" t="s">
        <v>96</v>
      </c>
      <c r="C502" s="63" t="s">
        <v>1079</v>
      </c>
      <c r="D502" s="61"/>
      <c r="E502" s="45">
        <v>0.0345</v>
      </c>
      <c r="F502" s="45">
        <v>0.054</v>
      </c>
      <c r="G502" s="66">
        <v>46148</v>
      </c>
      <c r="H502" s="45" t="str">
        <f>IF(ISNUMBER(E502),F502-E502,"N/A")</f>
        <v>N/A</v>
      </c>
      <c r="I502" s="46" t="str">
        <f>IF(E502&lt;&gt;"",IF(F502=E502,"No Change",IF(F502&gt;E502,"Increase","Decrease")),"New")</f>
        <v>Increase</v>
      </c>
      <c r="J502" s="58"/>
      <c r="K502" s="59" t="str">
        <f>IF(LEN(J502)&gt;0,IF(OR(ISLOGICAL(J502),J502="TRUE"),"Yes",""),"")</f>
      </c>
      <c r="L502" s="59"/>
      <c r="M502" s="59"/>
      <c r="N502" s="62" t="str">
        <f>IF(LEN(M502)&gt;0,IF(OR(ISLOGICAL(M502),M502="TRUE"),"Yes",""),"")</f>
      </c>
      <c r="O502" s="59"/>
      <c r="P502" s="62" t="str">
        <f>IF(LEN(O502)&gt;0,IF(OR(ISLOGICAL(O502),O502="TRUE"),"Yes",""),"")</f>
      </c>
      <c r="Q502" s="62" t="s">
        <v>98</v>
      </c>
      <c r="R502" s="63"/>
    </row>
    <row r="503" spans="1:18" s="47" customFormat="1" ht="51">
      <c r="A503" s="63" t="s">
        <v>1080</v>
      </c>
      <c r="B503" s="63" t="s">
        <v>96</v>
      </c>
      <c r="C503" s="63" t="s">
        <v>1081</v>
      </c>
      <c r="D503" s="61"/>
      <c r="E503" s="45">
        <v>0.0345</v>
      </c>
      <c r="F503" s="45">
        <v>0.054</v>
      </c>
      <c r="G503" s="66">
        <v>46148</v>
      </c>
      <c r="H503" s="45" t="str">
        <f>IF(ISNUMBER(E503),F503-E503,"N/A")</f>
        <v>N/A</v>
      </c>
      <c r="I503" s="46" t="str">
        <f>IF(E503&lt;&gt;"",IF(F503=E503,"No Change",IF(F503&gt;E503,"Increase","Decrease")),"New")</f>
        <v>Increase</v>
      </c>
      <c r="J503" s="58"/>
      <c r="K503" s="59" t="str">
        <f>IF(LEN(J503)&gt;0,IF(OR(ISLOGICAL(J503),J503="TRUE"),"Yes",""),"")</f>
      </c>
      <c r="L503" s="59"/>
      <c r="M503" s="59"/>
      <c r="N503" s="62" t="str">
        <f>IF(LEN(M503)&gt;0,IF(OR(ISLOGICAL(M503),M503="TRUE"),"Yes",""),"")</f>
      </c>
      <c r="O503" s="59"/>
      <c r="P503" s="62" t="str">
        <f>IF(LEN(O503)&gt;0,IF(OR(ISLOGICAL(O503),O503="TRUE"),"Yes",""),"")</f>
      </c>
      <c r="Q503" s="62" t="s">
        <v>98</v>
      </c>
      <c r="R503" s="63"/>
    </row>
    <row r="504" spans="1:18" s="47" customFormat="1" ht="51">
      <c r="A504" s="63" t="s">
        <v>1082</v>
      </c>
      <c r="B504" s="63" t="s">
        <v>96</v>
      </c>
      <c r="C504" s="63" t="s">
        <v>1083</v>
      </c>
      <c r="D504" s="61"/>
      <c r="E504" s="45">
        <v>0.0362</v>
      </c>
      <c r="F504" s="45">
        <v>0.0362</v>
      </c>
      <c r="G504" s="66">
        <v>46082</v>
      </c>
      <c r="H504" s="45" t="str">
        <f>IF(ISNUMBER(E504),F504-E504,"N/A")</f>
        <v>N/A</v>
      </c>
      <c r="I504" s="46" t="str">
        <f>IF(E504&lt;&gt;"",IF(F504=E504,"No Change",IF(F504&gt;E504,"Increase","Decrease")),"New")</f>
        <v>Increase</v>
      </c>
      <c r="J504" s="58"/>
      <c r="K504" s="59" t="str">
        <f>IF(LEN(J504)&gt;0,IF(OR(ISLOGICAL(J504),J504="TRUE"),"Yes",""),"")</f>
      </c>
      <c r="L504" s="59"/>
      <c r="M504" s="59"/>
      <c r="N504" s="62" t="str">
        <f>IF(LEN(M504)&gt;0,IF(OR(ISLOGICAL(M504),M504="TRUE"),"Yes",""),"")</f>
      </c>
      <c r="O504" s="59"/>
      <c r="P504" s="62" t="str">
        <f>IF(LEN(O504)&gt;0,IF(OR(ISLOGICAL(O504),O504="TRUE"),"Yes",""),"")</f>
      </c>
      <c r="Q504" s="62" t="s">
        <v>98</v>
      </c>
      <c r="R504" s="63"/>
    </row>
    <row r="505" spans="1:18" s="47" customFormat="1" ht="51">
      <c r="A505" s="63" t="s">
        <v>1084</v>
      </c>
      <c r="B505" s="63" t="s">
        <v>96</v>
      </c>
      <c r="C505" s="63" t="s">
        <v>1085</v>
      </c>
      <c r="D505" s="61"/>
      <c r="E505" s="45">
        <v>0.015</v>
      </c>
      <c r="F505" s="45">
        <v>0.015</v>
      </c>
      <c r="G505" s="66">
        <v>46092</v>
      </c>
      <c r="H505" s="45" t="str">
        <f>IF(ISNUMBER(E505),F505-E505,"N/A")</f>
        <v>N/A</v>
      </c>
      <c r="I505" s="46" t="str">
        <f>IF(E505&lt;&gt;"",IF(F505=E505,"No Change",IF(F505&gt;E505,"Increase","Decrease")),"New")</f>
        <v>Increase</v>
      </c>
      <c r="J505" s="58"/>
      <c r="K505" s="59" t="str">
        <f>IF(LEN(J505)&gt;0,IF(OR(ISLOGICAL(J505),J505="TRUE"),"Yes",""),"")</f>
      </c>
      <c r="L505" s="59"/>
      <c r="M505" s="59"/>
      <c r="N505" s="62" t="str">
        <f>IF(LEN(M505)&gt;0,IF(OR(ISLOGICAL(M505),M505="TRUE"),"Yes",""),"")</f>
      </c>
      <c r="O505" s="59"/>
      <c r="P505" s="62" t="str">
        <f>IF(LEN(O505)&gt;0,IF(OR(ISLOGICAL(O505),O505="TRUE"),"Yes",""),"")</f>
      </c>
      <c r="Q505" s="62" t="s">
        <v>98</v>
      </c>
      <c r="R505" s="63"/>
    </row>
    <row r="506" spans="1:18" s="47" customFormat="1" ht="51">
      <c r="A506" s="63" t="s">
        <v>1086</v>
      </c>
      <c r="B506" s="63" t="s">
        <v>96</v>
      </c>
      <c r="C506" s="63" t="s">
        <v>1087</v>
      </c>
      <c r="D506" s="61"/>
      <c r="E506" s="45">
        <v>0.015</v>
      </c>
      <c r="F506" s="45">
        <v>0.015</v>
      </c>
      <c r="G506" s="66">
        <v>46082</v>
      </c>
      <c r="H506" s="45" t="str">
        <f>IF(ISNUMBER(E506),F506-E506,"N/A")</f>
        <v>N/A</v>
      </c>
      <c r="I506" s="46" t="str">
        <f>IF(E506&lt;&gt;"",IF(F506=E506,"No Change",IF(F506&gt;E506,"Increase","Decrease")),"New")</f>
        <v>Increase</v>
      </c>
      <c r="J506" s="58"/>
      <c r="K506" s="59" t="str">
        <f>IF(LEN(J506)&gt;0,IF(OR(ISLOGICAL(J506),J506="TRUE"),"Yes",""),"")</f>
      </c>
      <c r="L506" s="59"/>
      <c r="M506" s="59"/>
      <c r="N506" s="62" t="str">
        <f>IF(LEN(M506)&gt;0,IF(OR(ISLOGICAL(M506),M506="TRUE"),"Yes",""),"")</f>
      </c>
      <c r="O506" s="59"/>
      <c r="P506" s="62" t="str">
        <f>IF(LEN(O506)&gt;0,IF(OR(ISLOGICAL(O506),O506="TRUE"),"Yes",""),"")</f>
      </c>
      <c r="Q506" s="62" t="s">
        <v>98</v>
      </c>
      <c r="R506" s="63"/>
    </row>
    <row r="507" spans="1:18" s="47" customFormat="1" ht="51">
      <c r="A507" s="63" t="s">
        <v>1088</v>
      </c>
      <c r="B507" s="63" t="s">
        <v>96</v>
      </c>
      <c r="C507" s="63" t="s">
        <v>1089</v>
      </c>
      <c r="D507" s="61"/>
      <c r="E507" s="45">
        <v>0.015</v>
      </c>
      <c r="F507" s="45">
        <v>0.015</v>
      </c>
      <c r="G507" s="66">
        <v>46082</v>
      </c>
      <c r="H507" s="45" t="str">
        <f>IF(ISNUMBER(E507),F507-E507,"N/A")</f>
        <v>N/A</v>
      </c>
      <c r="I507" s="46" t="str">
        <f>IF(E507&lt;&gt;"",IF(F507=E507,"No Change",IF(F507&gt;E507,"Increase","Decrease")),"New")</f>
        <v>Increase</v>
      </c>
      <c r="J507" s="58"/>
      <c r="K507" s="59" t="str">
        <f>IF(LEN(J507)&gt;0,IF(OR(ISLOGICAL(J507),J507="TRUE"),"Yes",""),"")</f>
      </c>
      <c r="L507" s="59"/>
      <c r="M507" s="59"/>
      <c r="N507" s="62" t="str">
        <f>IF(LEN(M507)&gt;0,IF(OR(ISLOGICAL(M507),M507="TRUE"),"Yes",""),"")</f>
      </c>
      <c r="O507" s="59"/>
      <c r="P507" s="62" t="str">
        <f>IF(LEN(O507)&gt;0,IF(OR(ISLOGICAL(O507),O507="TRUE"),"Yes",""),"")</f>
      </c>
      <c r="Q507" s="62" t="s">
        <v>98</v>
      </c>
      <c r="R507" s="63"/>
    </row>
    <row r="508" spans="1:18" s="47" customFormat="1" ht="51">
      <c r="A508" s="63" t="s">
        <v>1090</v>
      </c>
      <c r="B508" s="63" t="s">
        <v>96</v>
      </c>
      <c r="C508" s="63" t="s">
        <v>1091</v>
      </c>
      <c r="D508" s="61"/>
      <c r="E508" s="45">
        <v>0.015</v>
      </c>
      <c r="F508" s="45">
        <v>0.015</v>
      </c>
      <c r="G508" s="66">
        <v>46082</v>
      </c>
      <c r="H508" s="45" t="str">
        <f>IF(ISNUMBER(E508),F508-E508,"N/A")</f>
        <v>N/A</v>
      </c>
      <c r="I508" s="46" t="str">
        <f>IF(E508&lt;&gt;"",IF(F508=E508,"No Change",IF(F508&gt;E508,"Increase","Decrease")),"New")</f>
        <v>Increase</v>
      </c>
      <c r="J508" s="58"/>
      <c r="K508" s="59" t="str">
        <f>IF(LEN(J508)&gt;0,IF(OR(ISLOGICAL(J508),J508="TRUE"),"Yes",""),"")</f>
      </c>
      <c r="L508" s="59"/>
      <c r="M508" s="59"/>
      <c r="N508" s="62" t="str">
        <f>IF(LEN(M508)&gt;0,IF(OR(ISLOGICAL(M508),M508="TRUE"),"Yes",""),"")</f>
      </c>
      <c r="O508" s="59"/>
      <c r="P508" s="62" t="str">
        <f>IF(LEN(O508)&gt;0,IF(OR(ISLOGICAL(O508),O508="TRUE"),"Yes",""),"")</f>
      </c>
      <c r="Q508" s="62" t="s">
        <v>98</v>
      </c>
      <c r="R508" s="63"/>
    </row>
    <row r="509" spans="1:18" s="47" customFormat="1" ht="51">
      <c r="A509" s="63" t="s">
        <v>1092</v>
      </c>
      <c r="B509" s="63" t="s">
        <v>96</v>
      </c>
      <c r="C509" s="63" t="s">
        <v>1093</v>
      </c>
      <c r="D509" s="61"/>
      <c r="E509" s="45">
        <v>0.015</v>
      </c>
      <c r="F509" s="45">
        <v>0.015</v>
      </c>
      <c r="G509" s="66">
        <v>46082</v>
      </c>
      <c r="H509" s="45" t="str">
        <f>IF(ISNUMBER(E509),F509-E509,"N/A")</f>
        <v>N/A</v>
      </c>
      <c r="I509" s="46" t="str">
        <f>IF(E509&lt;&gt;"",IF(F509=E509,"No Change",IF(F509&gt;E509,"Increase","Decrease")),"New")</f>
        <v>Increase</v>
      </c>
      <c r="J509" s="58"/>
      <c r="K509" s="59" t="str">
        <f>IF(LEN(J509)&gt;0,IF(OR(ISLOGICAL(J509),J509="TRUE"),"Yes",""),"")</f>
      </c>
      <c r="L509" s="59"/>
      <c r="M509" s="59"/>
      <c r="N509" s="62" t="str">
        <f>IF(LEN(M509)&gt;0,IF(OR(ISLOGICAL(M509),M509="TRUE"),"Yes",""),"")</f>
      </c>
      <c r="O509" s="59"/>
      <c r="P509" s="62" t="str">
        <f>IF(LEN(O509)&gt;0,IF(OR(ISLOGICAL(O509),O509="TRUE"),"Yes",""),"")</f>
      </c>
      <c r="Q509" s="62" t="s">
        <v>98</v>
      </c>
      <c r="R509" s="63"/>
    </row>
    <row r="510" spans="1:18" s="47" customFormat="1" ht="51">
      <c r="A510" s="63" t="s">
        <v>1094</v>
      </c>
      <c r="B510" s="63" t="s">
        <v>96</v>
      </c>
      <c r="C510" s="63" t="s">
        <v>1095</v>
      </c>
      <c r="D510" s="61"/>
      <c r="E510" s="45">
        <v>0.0135</v>
      </c>
      <c r="F510" s="45">
        <v>0.0135</v>
      </c>
      <c r="G510" s="66">
        <v>46057</v>
      </c>
      <c r="H510" s="45" t="str">
        <f>IF(ISNUMBER(E510),F510-E510,"N/A")</f>
        <v>N/A</v>
      </c>
      <c r="I510" s="46" t="str">
        <f>IF(E510&lt;&gt;"",IF(F510=E510,"No Change",IF(F510&gt;E510,"Increase","Decrease")),"New")</f>
        <v>Increase</v>
      </c>
      <c r="J510" s="58"/>
      <c r="K510" s="59" t="str">
        <f>IF(LEN(J510)&gt;0,IF(OR(ISLOGICAL(J510),J510="TRUE"),"Yes",""),"")</f>
      </c>
      <c r="L510" s="59"/>
      <c r="M510" s="59"/>
      <c r="N510" s="62" t="str">
        <f>IF(LEN(M510)&gt;0,IF(OR(ISLOGICAL(M510),M510="TRUE"),"Yes",""),"")</f>
      </c>
      <c r="O510" s="59"/>
      <c r="P510" s="62" t="str">
        <f>IF(LEN(O510)&gt;0,IF(OR(ISLOGICAL(O510),O510="TRUE"),"Yes",""),"")</f>
      </c>
      <c r="Q510" s="62" t="s">
        <v>109</v>
      </c>
      <c r="R510" s="63"/>
    </row>
    <row r="511" spans="1:18" s="47" customFormat="1" ht="51">
      <c r="A511" s="63" t="s">
        <v>1096</v>
      </c>
      <c r="B511" s="63" t="s">
        <v>96</v>
      </c>
      <c r="C511" s="63" t="s">
        <v>1097</v>
      </c>
      <c r="D511" s="61"/>
      <c r="E511" s="45">
        <v>0.0135</v>
      </c>
      <c r="F511" s="45">
        <v>0.0135</v>
      </c>
      <c r="G511" s="66">
        <v>46057</v>
      </c>
      <c r="H511" s="45" t="str">
        <f>IF(ISNUMBER(E511),F511-E511,"N/A")</f>
        <v>N/A</v>
      </c>
      <c r="I511" s="46" t="str">
        <f>IF(E511&lt;&gt;"",IF(F511=E511,"No Change",IF(F511&gt;E511,"Increase","Decrease")),"New")</f>
        <v>Increase</v>
      </c>
      <c r="J511" s="58" t="s">
        <v>122</v>
      </c>
      <c r="K511" s="59" t="str">
        <f>IF(LEN(J511)&gt;0,IF(OR(ISLOGICAL(J511),J511="TRUE"),"Yes",""),"")</f>
      </c>
      <c r="L511" s="59"/>
      <c r="M511" s="59"/>
      <c r="N511" s="62" t="str">
        <f>IF(LEN(M511)&gt;0,IF(OR(ISLOGICAL(M511),M511="TRUE"),"Yes",""),"")</f>
      </c>
      <c r="O511" s="59"/>
      <c r="P511" s="62" t="str">
        <f>IF(LEN(O511)&gt;0,IF(OR(ISLOGICAL(O511),O511="TRUE"),"Yes",""),"")</f>
      </c>
      <c r="Q511" s="62" t="s">
        <v>109</v>
      </c>
      <c r="R511" s="63"/>
    </row>
    <row r="512" spans="1:18" s="47" customFormat="1" ht="51">
      <c r="A512" s="63" t="s">
        <v>1098</v>
      </c>
      <c r="B512" s="63" t="s">
        <v>96</v>
      </c>
      <c r="C512" s="63" t="s">
        <v>1099</v>
      </c>
      <c r="D512" s="61"/>
      <c r="E512" s="45">
        <v>0.0135</v>
      </c>
      <c r="F512" s="45">
        <v>0.0135</v>
      </c>
      <c r="G512" s="66">
        <v>46057</v>
      </c>
      <c r="H512" s="45" t="str">
        <f>IF(ISNUMBER(E512),F512-E512,"N/A")</f>
        <v>N/A</v>
      </c>
      <c r="I512" s="46" t="str">
        <f>IF(E512&lt;&gt;"",IF(F512=E512,"No Change",IF(F512&gt;E512,"Increase","Decrease")),"New")</f>
        <v>Increase</v>
      </c>
      <c r="J512" s="58" t="s">
        <v>122</v>
      </c>
      <c r="K512" s="59" t="str">
        <f>IF(LEN(J512)&gt;0,IF(OR(ISLOGICAL(J512),J512="TRUE"),"Yes",""),"")</f>
      </c>
      <c r="L512" s="59"/>
      <c r="M512" s="59"/>
      <c r="N512" s="62" t="str">
        <f>IF(LEN(M512)&gt;0,IF(OR(ISLOGICAL(M512),M512="TRUE"),"Yes",""),"")</f>
      </c>
      <c r="O512" s="59"/>
      <c r="P512" s="62" t="str">
        <f>IF(LEN(O512)&gt;0,IF(OR(ISLOGICAL(O512),O512="TRUE"),"Yes",""),"")</f>
      </c>
      <c r="Q512" s="62" t="s">
        <v>109</v>
      </c>
      <c r="R512" s="63"/>
    </row>
    <row r="513" spans="1:18" s="47" customFormat="1" ht="51">
      <c r="A513" s="63" t="s">
        <v>1100</v>
      </c>
      <c r="B513" s="63" t="s">
        <v>96</v>
      </c>
      <c r="C513" s="63" t="s">
        <v>1101</v>
      </c>
      <c r="D513" s="61"/>
      <c r="E513" s="45">
        <v>0.0135</v>
      </c>
      <c r="F513" s="45">
        <v>0.0135</v>
      </c>
      <c r="G513" s="66">
        <v>46057</v>
      </c>
      <c r="H513" s="45" t="str">
        <f>IF(ISNUMBER(E513),F513-E513,"N/A")</f>
        <v>N/A</v>
      </c>
      <c r="I513" s="46" t="str">
        <f>IF(E513&lt;&gt;"",IF(F513=E513,"No Change",IF(F513&gt;E513,"Increase","Decrease")),"New")</f>
        <v>Increase</v>
      </c>
      <c r="J513" s="58" t="s">
        <v>122</v>
      </c>
      <c r="K513" s="59" t="str">
        <f>IF(LEN(J513)&gt;0,IF(OR(ISLOGICAL(J513),J513="TRUE"),"Yes",""),"")</f>
      </c>
      <c r="L513" s="59"/>
      <c r="M513" s="59"/>
      <c r="N513" s="62" t="str">
        <f>IF(LEN(M513)&gt;0,IF(OR(ISLOGICAL(M513),M513="TRUE"),"Yes",""),"")</f>
      </c>
      <c r="O513" s="59"/>
      <c r="P513" s="62" t="str">
        <f>IF(LEN(O513)&gt;0,IF(OR(ISLOGICAL(O513),O513="TRUE"),"Yes",""),"")</f>
      </c>
      <c r="Q513" s="62" t="s">
        <v>109</v>
      </c>
      <c r="R513" s="63"/>
    </row>
    <row r="514" spans="1:18" s="47" customFormat="1" ht="51">
      <c r="A514" s="63" t="s">
        <v>1102</v>
      </c>
      <c r="B514" s="63" t="s">
        <v>96</v>
      </c>
      <c r="C514" s="63" t="s">
        <v>1103</v>
      </c>
      <c r="D514" s="61"/>
      <c r="E514" s="45">
        <v>0.0135</v>
      </c>
      <c r="F514" s="45">
        <v>0.0135</v>
      </c>
      <c r="G514" s="66">
        <v>46057</v>
      </c>
      <c r="H514" s="45" t="str">
        <f>IF(ISNUMBER(E514),F514-E514,"N/A")</f>
        <v>N/A</v>
      </c>
      <c r="I514" s="46" t="str">
        <f>IF(E514&lt;&gt;"",IF(F514=E514,"No Change",IF(F514&gt;E514,"Increase","Decrease")),"New")</f>
        <v>Increase</v>
      </c>
      <c r="J514" s="58" t="s">
        <v>122</v>
      </c>
      <c r="K514" s="59" t="str">
        <f>IF(LEN(J514)&gt;0,IF(OR(ISLOGICAL(J514),J514="TRUE"),"Yes",""),"")</f>
      </c>
      <c r="L514" s="59"/>
      <c r="M514" s="59"/>
      <c r="N514" s="62" t="str">
        <f>IF(LEN(M514)&gt;0,IF(OR(ISLOGICAL(M514),M514="TRUE"),"Yes",""),"")</f>
      </c>
      <c r="O514" s="59"/>
      <c r="P514" s="62" t="str">
        <f>IF(LEN(O514)&gt;0,IF(OR(ISLOGICAL(O514),O514="TRUE"),"Yes",""),"")</f>
      </c>
      <c r="Q514" s="62" t="s">
        <v>109</v>
      </c>
      <c r="R514" s="63"/>
    </row>
    <row r="515" spans="1:18" s="47" customFormat="1" ht="51">
      <c r="A515" s="63" t="s">
        <v>1104</v>
      </c>
      <c r="B515" s="63" t="s">
        <v>96</v>
      </c>
      <c r="C515" s="63" t="s">
        <v>1105</v>
      </c>
      <c r="D515" s="61"/>
      <c r="E515" s="45">
        <v>0.0135</v>
      </c>
      <c r="F515" s="45">
        <v>0.0135</v>
      </c>
      <c r="G515" s="66">
        <v>46057</v>
      </c>
      <c r="H515" s="45" t="str">
        <f>IF(ISNUMBER(E515),F515-E515,"N/A")</f>
        <v>N/A</v>
      </c>
      <c r="I515" s="46" t="str">
        <f>IF(E515&lt;&gt;"",IF(F515=E515,"No Change",IF(F515&gt;E515,"Increase","Decrease")),"New")</f>
        <v>Increase</v>
      </c>
      <c r="J515" s="58" t="s">
        <v>122</v>
      </c>
      <c r="K515" s="59" t="str">
        <f>IF(LEN(J515)&gt;0,IF(OR(ISLOGICAL(J515),J515="TRUE"),"Yes",""),"")</f>
      </c>
      <c r="L515" s="59"/>
      <c r="M515" s="59"/>
      <c r="N515" s="62" t="str">
        <f>IF(LEN(M515)&gt;0,IF(OR(ISLOGICAL(M515),M515="TRUE"),"Yes",""),"")</f>
      </c>
      <c r="O515" s="59"/>
      <c r="P515" s="62" t="str">
        <f>IF(LEN(O515)&gt;0,IF(OR(ISLOGICAL(O515),O515="TRUE"),"Yes",""),"")</f>
      </c>
      <c r="Q515" s="62" t="s">
        <v>109</v>
      </c>
      <c r="R515" s="63"/>
    </row>
    <row r="516" spans="1:18" s="47" customFormat="1" ht="51">
      <c r="A516" s="63" t="s">
        <v>1106</v>
      </c>
      <c r="B516" s="63" t="s">
        <v>96</v>
      </c>
      <c r="C516" s="63" t="s">
        <v>1107</v>
      </c>
      <c r="D516" s="61"/>
      <c r="E516" s="45">
        <v>0.0299</v>
      </c>
      <c r="F516" s="45">
        <v>0.0299</v>
      </c>
      <c r="G516" s="66">
        <v>46078</v>
      </c>
      <c r="H516" s="45" t="str">
        <f>IF(ISNUMBER(E516),F516-E516,"N/A")</f>
        <v>N/A</v>
      </c>
      <c r="I516" s="46" t="str">
        <f>IF(E516&lt;&gt;"",IF(F516=E516,"No Change",IF(F516&gt;E516,"Increase","Decrease")),"New")</f>
        <v>Increase</v>
      </c>
      <c r="J516" s="58"/>
      <c r="K516" s="59" t="str">
        <f>IF(LEN(J516)&gt;0,IF(OR(ISLOGICAL(J516),J516="TRUE"),"Yes",""),"")</f>
      </c>
      <c r="L516" s="59"/>
      <c r="M516" s="59"/>
      <c r="N516" s="62" t="str">
        <f>IF(LEN(M516)&gt;0,IF(OR(ISLOGICAL(M516),M516="TRUE"),"Yes",""),"")</f>
      </c>
      <c r="O516" s="59"/>
      <c r="P516" s="62" t="str">
        <f>IF(LEN(O516)&gt;0,IF(OR(ISLOGICAL(O516),O516="TRUE"),"Yes",""),"")</f>
      </c>
      <c r="Q516" s="62" t="s">
        <v>104</v>
      </c>
      <c r="R516" s="63"/>
    </row>
    <row r="517" spans="1:18" s="47" customFormat="1" ht="51">
      <c r="A517" s="63" t="s">
        <v>1108</v>
      </c>
      <c r="B517" s="63" t="s">
        <v>96</v>
      </c>
      <c r="C517" s="63" t="s">
        <v>1109</v>
      </c>
      <c r="D517" s="61"/>
      <c r="E517" s="45">
        <v>0.025</v>
      </c>
      <c r="F517" s="45">
        <v>0.025</v>
      </c>
      <c r="G517" s="66">
        <v>45838</v>
      </c>
      <c r="H517" s="45" t="str">
        <f>IF(ISNUMBER(E517),F517-E517,"N/A")</f>
        <v>N/A</v>
      </c>
      <c r="I517" s="46" t="str">
        <f>IF(E517&lt;&gt;"",IF(F517=E517,"No Change",IF(F517&gt;E517,"Increase","Decrease")),"New")</f>
        <v>Increase</v>
      </c>
      <c r="J517" s="58"/>
      <c r="K517" s="59" t="str">
        <f>IF(LEN(J517)&gt;0,IF(OR(ISLOGICAL(J517),J517="TRUE"),"Yes",""),"")</f>
      </c>
      <c r="L517" s="59"/>
      <c r="M517" s="59"/>
      <c r="N517" s="62" t="str">
        <f>IF(LEN(M517)&gt;0,IF(OR(ISLOGICAL(M517),M517="TRUE"),"Yes",""),"")</f>
      </c>
      <c r="O517" s="59"/>
      <c r="P517" s="62" t="str">
        <f>IF(LEN(O517)&gt;0,IF(OR(ISLOGICAL(O517),O517="TRUE"),"Yes",""),"")</f>
      </c>
      <c r="Q517" s="62" t="s">
        <v>104</v>
      </c>
      <c r="R517" s="63"/>
    </row>
    <row r="518" spans="1:18" s="47" customFormat="1" ht="51">
      <c r="A518" s="63" t="s">
        <v>1110</v>
      </c>
      <c r="B518" s="63" t="s">
        <v>96</v>
      </c>
      <c r="C518" s="63" t="s">
        <v>1111</v>
      </c>
      <c r="D518" s="61"/>
      <c r="E518" s="45">
        <v>0.0295</v>
      </c>
      <c r="F518" s="45">
        <v>0.0295</v>
      </c>
      <c r="G518" s="66">
        <v>46078</v>
      </c>
      <c r="H518" s="45" t="str">
        <f>IF(ISNUMBER(E518),F518-E518,"N/A")</f>
        <v>N/A</v>
      </c>
      <c r="I518" s="46" t="str">
        <f>IF(E518&lt;&gt;"",IF(F518=E518,"No Change",IF(F518&gt;E518,"Increase","Decrease")),"New")</f>
        <v>Increase</v>
      </c>
      <c r="J518" s="58" t="s">
        <v>122</v>
      </c>
      <c r="K518" s="59" t="str">
        <f>IF(LEN(J518)&gt;0,IF(OR(ISLOGICAL(J518),J518="TRUE"),"Yes",""),"")</f>
      </c>
      <c r="L518" s="59"/>
      <c r="M518" s="59"/>
      <c r="N518" s="62" t="str">
        <f>IF(LEN(M518)&gt;0,IF(OR(ISLOGICAL(M518),M518="TRUE"),"Yes",""),"")</f>
      </c>
      <c r="O518" s="59"/>
      <c r="P518" s="62" t="str">
        <f>IF(LEN(O518)&gt;0,IF(OR(ISLOGICAL(O518),O518="TRUE"),"Yes",""),"")</f>
      </c>
      <c r="Q518" s="62" t="s">
        <v>104</v>
      </c>
      <c r="R518" s="63"/>
    </row>
    <row r="519" spans="1:18" s="47" customFormat="1" ht="51">
      <c r="A519" s="63" t="s">
        <v>1112</v>
      </c>
      <c r="B519" s="63" t="s">
        <v>96</v>
      </c>
      <c r="C519" s="63" t="s">
        <v>1113</v>
      </c>
      <c r="D519" s="61"/>
      <c r="E519" s="45">
        <v>0.0315</v>
      </c>
      <c r="F519" s="45">
        <v>0.0315</v>
      </c>
      <c r="G519" s="66">
        <v>46120</v>
      </c>
      <c r="H519" s="45" t="str">
        <f>IF(ISNUMBER(E519),F519-E519,"N/A")</f>
        <v>N/A</v>
      </c>
      <c r="I519" s="46" t="str">
        <f>IF(E519&lt;&gt;"",IF(F519=E519,"No Change",IF(F519&gt;E519,"Increase","Decrease")),"New")</f>
        <v>Increase</v>
      </c>
      <c r="J519" s="58" t="s">
        <v>122</v>
      </c>
      <c r="K519" s="59" t="str">
        <f>IF(LEN(J519)&gt;0,IF(OR(ISLOGICAL(J519),J519="TRUE"),"Yes",""),"")</f>
      </c>
      <c r="L519" s="59"/>
      <c r="M519" s="59"/>
      <c r="N519" s="62" t="str">
        <f>IF(LEN(M519)&gt;0,IF(OR(ISLOGICAL(M519),M519="TRUE"),"Yes",""),"")</f>
      </c>
      <c r="O519" s="59"/>
      <c r="P519" s="62" t="str">
        <f>IF(LEN(O519)&gt;0,IF(OR(ISLOGICAL(O519),O519="TRUE"),"Yes",""),"")</f>
      </c>
      <c r="Q519" s="62" t="s">
        <v>104</v>
      </c>
      <c r="R519" s="63"/>
    </row>
    <row r="520" spans="1:18" s="47" customFormat="1" ht="51">
      <c r="A520" s="63" t="s">
        <v>1114</v>
      </c>
      <c r="B520" s="63" t="s">
        <v>96</v>
      </c>
      <c r="C520" s="63" t="s">
        <v>1115</v>
      </c>
      <c r="D520" s="61"/>
      <c r="E520" s="45">
        <v>0.0315</v>
      </c>
      <c r="F520" s="45">
        <v>0.0315</v>
      </c>
      <c r="G520" s="66">
        <v>46120</v>
      </c>
      <c r="H520" s="45" t="str">
        <f>IF(ISNUMBER(E520),F520-E520,"N/A")</f>
        <v>N/A</v>
      </c>
      <c r="I520" s="46" t="str">
        <f>IF(E520&lt;&gt;"",IF(F520=E520,"No Change",IF(F520&gt;E520,"Increase","Decrease")),"New")</f>
        <v>Increase</v>
      </c>
      <c r="J520" s="58" t="s">
        <v>122</v>
      </c>
      <c r="K520" s="59" t="str">
        <f>IF(LEN(J520)&gt;0,IF(OR(ISLOGICAL(J520),J520="TRUE"),"Yes",""),"")</f>
      </c>
      <c r="L520" s="59"/>
      <c r="M520" s="59"/>
      <c r="N520" s="62" t="str">
        <f>IF(LEN(M520)&gt;0,IF(OR(ISLOGICAL(M520),M520="TRUE"),"Yes",""),"")</f>
      </c>
      <c r="O520" s="59"/>
      <c r="P520" s="62" t="str">
        <f>IF(LEN(O520)&gt;0,IF(OR(ISLOGICAL(O520),O520="TRUE"),"Yes",""),"")</f>
      </c>
      <c r="Q520" s="62" t="s">
        <v>104</v>
      </c>
      <c r="R520" s="63"/>
    </row>
    <row r="521" spans="1:18" s="47" customFormat="1" ht="51">
      <c r="A521" s="63" t="s">
        <v>1116</v>
      </c>
      <c r="B521" s="63" t="s">
        <v>96</v>
      </c>
      <c r="C521" s="63" t="s">
        <v>1117</v>
      </c>
      <c r="D521" s="61"/>
      <c r="E521" s="45">
        <v>0.0295</v>
      </c>
      <c r="F521" s="45">
        <v>0.0295</v>
      </c>
      <c r="G521" s="66">
        <v>45812</v>
      </c>
      <c r="H521" s="45" t="str">
        <f>IF(ISNUMBER(E521),F521-E521,"N/A")</f>
        <v>N/A</v>
      </c>
      <c r="I521" s="46" t="str">
        <f>IF(E521&lt;&gt;"",IF(F521=E521,"No Change",IF(F521&gt;E521,"Increase","Decrease")),"New")</f>
        <v>Increase</v>
      </c>
      <c r="J521" s="58" t="s">
        <v>122</v>
      </c>
      <c r="K521" s="59" t="str">
        <f>IF(LEN(J521)&gt;0,IF(OR(ISLOGICAL(J521),J521="TRUE"),"Yes",""),"")</f>
      </c>
      <c r="L521" s="59"/>
      <c r="M521" s="59"/>
      <c r="N521" s="62" t="str">
        <f>IF(LEN(M521)&gt;0,IF(OR(ISLOGICAL(M521),M521="TRUE"),"Yes",""),"")</f>
      </c>
      <c r="O521" s="59"/>
      <c r="P521" s="62" t="str">
        <f>IF(LEN(O521)&gt;0,IF(OR(ISLOGICAL(O521),O521="TRUE"),"Yes",""),"")</f>
      </c>
      <c r="Q521" s="62" t="s">
        <v>104</v>
      </c>
      <c r="R521" s="63"/>
    </row>
    <row r="522" spans="1:18" s="47" customFormat="1" ht="51">
      <c r="A522" s="63" t="s">
        <v>1118</v>
      </c>
      <c r="B522" s="63" t="s">
        <v>96</v>
      </c>
      <c r="C522" s="63" t="s">
        <v>1119</v>
      </c>
      <c r="D522" s="61"/>
      <c r="E522" s="45">
        <v>0.031</v>
      </c>
      <c r="F522" s="45">
        <v>0.031</v>
      </c>
      <c r="G522" s="66">
        <v>46085</v>
      </c>
      <c r="H522" s="45" t="str">
        <f>IF(ISNUMBER(E522),F522-E522,"N/A")</f>
        <v>N/A</v>
      </c>
      <c r="I522" s="46" t="str">
        <f>IF(E522&lt;&gt;"",IF(F522=E522,"No Change",IF(F522&gt;E522,"Increase","Decrease")),"New")</f>
        <v>Increase</v>
      </c>
      <c r="J522" s="58"/>
      <c r="K522" s="59" t="str">
        <f>IF(LEN(J522)&gt;0,IF(OR(ISLOGICAL(J522),J522="TRUE"),"Yes",""),"")</f>
      </c>
      <c r="L522" s="59"/>
      <c r="M522" s="59"/>
      <c r="N522" s="62" t="str">
        <f>IF(LEN(M522)&gt;0,IF(OR(ISLOGICAL(M522),M522="TRUE"),"Yes",""),"")</f>
      </c>
      <c r="O522" s="59"/>
      <c r="P522" s="62" t="str">
        <f>IF(LEN(O522)&gt;0,IF(OR(ISLOGICAL(O522),O522="TRUE"),"Yes",""),"")</f>
      </c>
      <c r="Q522" s="62" t="s">
        <v>104</v>
      </c>
      <c r="R522" s="63"/>
    </row>
    <row r="523" spans="1:18" s="47" customFormat="1" ht="51">
      <c r="A523" s="63" t="s">
        <v>1120</v>
      </c>
      <c r="B523" s="63" t="s">
        <v>96</v>
      </c>
      <c r="C523" s="63" t="s">
        <v>1121</v>
      </c>
      <c r="D523" s="61"/>
      <c r="E523" s="45">
        <v>0.025</v>
      </c>
      <c r="F523" s="45">
        <v>0.025</v>
      </c>
      <c r="G523" s="66">
        <v>45838</v>
      </c>
      <c r="H523" s="45" t="str">
        <f>IF(ISNUMBER(E523),F523-E523,"N/A")</f>
        <v>N/A</v>
      </c>
      <c r="I523" s="46" t="str">
        <f>IF(E523&lt;&gt;"",IF(F523=E523,"No Change",IF(F523&gt;E523,"Increase","Decrease")),"New")</f>
        <v>Increase</v>
      </c>
      <c r="J523" s="58"/>
      <c r="K523" s="59" t="str">
        <f>IF(LEN(J523)&gt;0,IF(OR(ISLOGICAL(J523),J523="TRUE"),"Yes",""),"")</f>
      </c>
      <c r="L523" s="59"/>
      <c r="M523" s="59"/>
      <c r="N523" s="62" t="str">
        <f>IF(LEN(M523)&gt;0,IF(OR(ISLOGICAL(M523),M523="TRUE"),"Yes",""),"")</f>
      </c>
      <c r="O523" s="59"/>
      <c r="P523" s="62" t="str">
        <f>IF(LEN(O523)&gt;0,IF(OR(ISLOGICAL(O523),O523="TRUE"),"Yes",""),"")</f>
      </c>
      <c r="Q523" s="62" t="s">
        <v>104</v>
      </c>
      <c r="R523" s="63"/>
    </row>
    <row r="524" spans="1:18" s="47" customFormat="1" ht="51">
      <c r="A524" s="63" t="s">
        <v>1122</v>
      </c>
      <c r="B524" s="63" t="s">
        <v>96</v>
      </c>
      <c r="C524" s="63" t="s">
        <v>1123</v>
      </c>
      <c r="D524" s="61"/>
      <c r="E524" s="45">
        <v>10</v>
      </c>
      <c r="F524" s="45">
        <v>10</v>
      </c>
      <c r="G524" s="66">
        <v>46141</v>
      </c>
      <c r="H524" s="45" t="str">
        <f>IF(ISNUMBER(E524),F524-E524,"N/A")</f>
        <v>N/A</v>
      </c>
      <c r="I524" s="46" t="str">
        <f>IF(E524&lt;&gt;"",IF(F524=E524,"No Change",IF(F524&gt;E524,"Increase","Decrease")),"New")</f>
        <v>Increase</v>
      </c>
      <c r="J524" s="58"/>
      <c r="K524" s="59" t="str">
        <f>IF(LEN(J524)&gt;0,IF(OR(ISLOGICAL(J524),J524="TRUE"),"Yes",""),"")</f>
      </c>
      <c r="L524" s="59"/>
      <c r="M524" s="59"/>
      <c r="N524" s="62" t="str">
        <f>IF(LEN(M524)&gt;0,IF(OR(ISLOGICAL(M524),M524="TRUE"),"Yes",""),"")</f>
      </c>
      <c r="O524" s="59"/>
      <c r="P524" s="62" t="str">
        <f>IF(LEN(O524)&gt;0,IF(OR(ISLOGICAL(O524),O524="TRUE"),"Yes",""),"")</f>
      </c>
      <c r="Q524" s="62" t="s">
        <v>109</v>
      </c>
      <c r="R524" s="63"/>
    </row>
    <row r="525" spans="1:18" s="47" customFormat="1" ht="51">
      <c r="A525" s="63" t="s">
        <v>1124</v>
      </c>
      <c r="B525" s="63" t="s">
        <v>96</v>
      </c>
      <c r="C525" s="63" t="s">
        <v>1125</v>
      </c>
      <c r="D525" s="61"/>
      <c r="E525" s="45">
        <v>2.96</v>
      </c>
      <c r="F525" s="45">
        <v>2.96</v>
      </c>
      <c r="G525" s="66">
        <v>46143</v>
      </c>
      <c r="H525" s="45" t="str">
        <f>IF(ISNUMBER(E525),F525-E525,"N/A")</f>
        <v>N/A</v>
      </c>
      <c r="I525" s="46" t="str">
        <f>IF(E525&lt;&gt;"",IF(F525=E525,"No Change",IF(F525&gt;E525,"Increase","Decrease")),"New")</f>
        <v>Increase</v>
      </c>
      <c r="J525" s="58"/>
      <c r="K525" s="59" t="str">
        <f>IF(LEN(J525)&gt;0,IF(OR(ISLOGICAL(J525),J525="TRUE"),"Yes",""),"")</f>
      </c>
      <c r="L525" s="59"/>
      <c r="M525" s="59"/>
      <c r="N525" s="62" t="str">
        <f>IF(LEN(M525)&gt;0,IF(OR(ISLOGICAL(M525),M525="TRUE"),"Yes",""),"")</f>
      </c>
      <c r="O525" s="59"/>
      <c r="P525" s="62" t="str">
        <f>IF(LEN(O525)&gt;0,IF(OR(ISLOGICAL(O525),O525="TRUE"),"Yes",""),"")</f>
      </c>
      <c r="Q525" s="62" t="s">
        <v>109</v>
      </c>
      <c r="R525" s="63"/>
    </row>
    <row r="526" spans="1:18" s="47" customFormat="1" ht="51">
      <c r="A526" s="63" t="s">
        <v>1126</v>
      </c>
      <c r="B526" s="63" t="s">
        <v>96</v>
      </c>
      <c r="C526" s="63" t="s">
        <v>1127</v>
      </c>
      <c r="D526" s="61"/>
      <c r="E526" s="45">
        <v>6.075</v>
      </c>
      <c r="F526" s="45">
        <v>6.075</v>
      </c>
      <c r="G526" s="66">
        <v>46143</v>
      </c>
      <c r="H526" s="45" t="str">
        <f>IF(ISNUMBER(E526),F526-E526,"N/A")</f>
        <v>N/A</v>
      </c>
      <c r="I526" s="46" t="str">
        <f>IF(E526&lt;&gt;"",IF(F526=E526,"No Change",IF(F526&gt;E526,"Increase","Decrease")),"New")</f>
        <v>Increase</v>
      </c>
      <c r="J526" s="58"/>
      <c r="K526" s="59" t="str">
        <f>IF(LEN(J526)&gt;0,IF(OR(ISLOGICAL(J526),J526="TRUE"),"Yes",""),"")</f>
      </c>
      <c r="L526" s="59"/>
      <c r="M526" s="59"/>
      <c r="N526" s="62" t="str">
        <f>IF(LEN(M526)&gt;0,IF(OR(ISLOGICAL(M526),M526="TRUE"),"Yes",""),"")</f>
      </c>
      <c r="O526" s="59"/>
      <c r="P526" s="62" t="str">
        <f>IF(LEN(O526)&gt;0,IF(OR(ISLOGICAL(O526),O526="TRUE"),"Yes",""),"")</f>
      </c>
      <c r="Q526" s="62" t="s">
        <v>109</v>
      </c>
      <c r="R526" s="63"/>
    </row>
    <row r="527" spans="1:18" s="47" customFormat="1" ht="51">
      <c r="A527" s="63" t="s">
        <v>1128</v>
      </c>
      <c r="B527" s="63" t="s">
        <v>96</v>
      </c>
      <c r="C527" s="63" t="s">
        <v>1129</v>
      </c>
      <c r="D527" s="61"/>
      <c r="E527" s="45">
        <v>4.825</v>
      </c>
      <c r="F527" s="45">
        <v>4.825</v>
      </c>
      <c r="G527" s="66">
        <v>46143</v>
      </c>
      <c r="H527" s="45" t="str">
        <f>IF(ISNUMBER(E527),F527-E527,"N/A")</f>
        <v>N/A</v>
      </c>
      <c r="I527" s="46" t="str">
        <f>IF(E527&lt;&gt;"",IF(F527=E527,"No Change",IF(F527&gt;E527,"Increase","Decrease")),"New")</f>
        <v>Increase</v>
      </c>
      <c r="J527" s="58"/>
      <c r="K527" s="59" t="str">
        <f>IF(LEN(J527)&gt;0,IF(OR(ISLOGICAL(J527),J527="TRUE"),"Yes",""),"")</f>
      </c>
      <c r="L527" s="59"/>
      <c r="M527" s="59"/>
      <c r="N527" s="62" t="str">
        <f>IF(LEN(M527)&gt;0,IF(OR(ISLOGICAL(M527),M527="TRUE"),"Yes",""),"")</f>
      </c>
      <c r="O527" s="59"/>
      <c r="P527" s="62" t="str">
        <f>IF(LEN(O527)&gt;0,IF(OR(ISLOGICAL(O527),O527="TRUE"),"Yes",""),"")</f>
      </c>
      <c r="Q527" s="62" t="s">
        <v>109</v>
      </c>
      <c r="R527" s="63"/>
    </row>
    <row r="528" spans="1:18" s="47" customFormat="1" ht="51">
      <c r="A528" s="63" t="s">
        <v>1130</v>
      </c>
      <c r="B528" s="63" t="s">
        <v>96</v>
      </c>
      <c r="C528" s="63" t="s">
        <v>1131</v>
      </c>
      <c r="D528" s="61"/>
      <c r="E528" s="45">
        <v>10</v>
      </c>
      <c r="F528" s="45">
        <v>10</v>
      </c>
      <c r="G528" s="66">
        <v>46082</v>
      </c>
      <c r="H528" s="45" t="str">
        <f>IF(ISNUMBER(E528),F528-E528,"N/A")</f>
        <v>N/A</v>
      </c>
      <c r="I528" s="46" t="str">
        <f>IF(E528&lt;&gt;"",IF(F528=E528,"No Change",IF(F528&gt;E528,"Increase","Decrease")),"New")</f>
        <v>Increase</v>
      </c>
      <c r="J528" s="58"/>
      <c r="K528" s="59" t="str">
        <f>IF(LEN(J528)&gt;0,IF(OR(ISLOGICAL(J528),J528="TRUE"),"Yes",""),"")</f>
      </c>
      <c r="L528" s="59"/>
      <c r="M528" s="59"/>
      <c r="N528" s="62" t="str">
        <f>IF(LEN(M528)&gt;0,IF(OR(ISLOGICAL(M528),M528="TRUE"),"Yes",""),"")</f>
      </c>
      <c r="O528" s="59"/>
      <c r="P528" s="62" t="str">
        <f>IF(LEN(O528)&gt;0,IF(OR(ISLOGICAL(O528),O528="TRUE"),"Yes",""),"")</f>
      </c>
      <c r="Q528" s="62" t="s">
        <v>109</v>
      </c>
      <c r="R528" s="63"/>
    </row>
    <row r="529" spans="1:18" s="47" customFormat="1" ht="51">
      <c r="A529" s="63" t="s">
        <v>1132</v>
      </c>
      <c r="B529" s="63" t="s">
        <v>96</v>
      </c>
      <c r="C529" s="63" t="s">
        <v>1133</v>
      </c>
      <c r="D529" s="61"/>
      <c r="E529" s="45">
        <v>10</v>
      </c>
      <c r="F529" s="45">
        <v>10</v>
      </c>
      <c r="G529" s="66">
        <v>46082</v>
      </c>
      <c r="H529" s="45" t="str">
        <f>IF(ISNUMBER(E529),F529-E529,"N/A")</f>
        <v>N/A</v>
      </c>
      <c r="I529" s="46" t="str">
        <f>IF(E529&lt;&gt;"",IF(F529=E529,"No Change",IF(F529&gt;E529,"Increase","Decrease")),"New")</f>
        <v>Increase</v>
      </c>
      <c r="J529" s="58"/>
      <c r="K529" s="59" t="str">
        <f>IF(LEN(J529)&gt;0,IF(OR(ISLOGICAL(J529),J529="TRUE"),"Yes",""),"")</f>
      </c>
      <c r="L529" s="59"/>
      <c r="M529" s="59"/>
      <c r="N529" s="62" t="str">
        <f>IF(LEN(M529)&gt;0,IF(OR(ISLOGICAL(M529),M529="TRUE"),"Yes",""),"")</f>
      </c>
      <c r="O529" s="59"/>
      <c r="P529" s="62" t="str">
        <f>IF(LEN(O529)&gt;0,IF(OR(ISLOGICAL(O529),O529="TRUE"),"Yes",""),"")</f>
      </c>
      <c r="Q529" s="62" t="s">
        <v>109</v>
      </c>
      <c r="R529" s="63"/>
    </row>
    <row r="530" spans="1:18" s="47" customFormat="1" ht="51">
      <c r="A530" s="63" t="s">
        <v>1134</v>
      </c>
      <c r="B530" s="63" t="s">
        <v>96</v>
      </c>
      <c r="C530" s="63" t="s">
        <v>1135</v>
      </c>
      <c r="D530" s="61"/>
      <c r="E530" s="45">
        <v>10</v>
      </c>
      <c r="F530" s="45">
        <v>10</v>
      </c>
      <c r="G530" s="66">
        <v>46143</v>
      </c>
      <c r="H530" s="45" t="str">
        <f>IF(ISNUMBER(E530),F530-E530,"N/A")</f>
        <v>N/A</v>
      </c>
      <c r="I530" s="46" t="str">
        <f>IF(E530&lt;&gt;"",IF(F530=E530,"No Change",IF(F530&gt;E530,"Increase","Decrease")),"New")</f>
        <v>Increase</v>
      </c>
      <c r="J530" s="58"/>
      <c r="K530" s="59" t="str">
        <f>IF(LEN(J530)&gt;0,IF(OR(ISLOGICAL(J530),J530="TRUE"),"Yes",""),"")</f>
      </c>
      <c r="L530" s="59"/>
      <c r="M530" s="59"/>
      <c r="N530" s="62" t="str">
        <f>IF(LEN(M530)&gt;0,IF(OR(ISLOGICAL(M530),M530="TRUE"),"Yes",""),"")</f>
      </c>
      <c r="O530" s="59"/>
      <c r="P530" s="62" t="str">
        <f>IF(LEN(O530)&gt;0,IF(OR(ISLOGICAL(O530),O530="TRUE"),"Yes",""),"")</f>
      </c>
      <c r="Q530" s="62" t="s">
        <v>109</v>
      </c>
      <c r="R530" s="63"/>
    </row>
    <row r="531" spans="1:18" s="47" customFormat="1" ht="51">
      <c r="A531" s="63" t="s">
        <v>1136</v>
      </c>
      <c r="B531" s="63" t="s">
        <v>96</v>
      </c>
      <c r="C531" s="63" t="s">
        <v>1137</v>
      </c>
      <c r="D531" s="61"/>
      <c r="E531" s="45">
        <v>0.139</v>
      </c>
      <c r="F531" s="45">
        <v>0.139</v>
      </c>
      <c r="G531" s="66">
        <v>46074</v>
      </c>
      <c r="H531" s="45" t="str">
        <f>IF(ISNUMBER(E531),F531-E531,"N/A")</f>
        <v>N/A</v>
      </c>
      <c r="I531" s="46" t="str">
        <f>IF(E531&lt;&gt;"",IF(F531=E531,"No Change",IF(F531&gt;E531,"Increase","Decrease")),"New")</f>
        <v>Increase</v>
      </c>
      <c r="J531" s="58"/>
      <c r="K531" s="59" t="str">
        <f>IF(LEN(J531)&gt;0,IF(OR(ISLOGICAL(J531),J531="TRUE"),"Yes",""),"")</f>
      </c>
      <c r="L531" s="59"/>
      <c r="M531" s="59"/>
      <c r="N531" s="62" t="str">
        <f>IF(LEN(M531)&gt;0,IF(OR(ISLOGICAL(M531),M531="TRUE"),"Yes",""),"")</f>
      </c>
      <c r="O531" s="59"/>
      <c r="P531" s="62" t="str">
        <f>IF(LEN(O531)&gt;0,IF(OR(ISLOGICAL(O531),O531="TRUE"),"Yes",""),"")</f>
      </c>
      <c r="Q531" s="62" t="s">
        <v>98</v>
      </c>
      <c r="R531" s="63"/>
    </row>
    <row r="532" spans="1:18" s="47" customFormat="1" ht="51">
      <c r="A532" s="63" t="s">
        <v>1138</v>
      </c>
      <c r="B532" s="63" t="s">
        <v>96</v>
      </c>
      <c r="C532" s="63" t="s">
        <v>1139</v>
      </c>
      <c r="D532" s="61"/>
      <c r="E532" s="45">
        <v>0.155</v>
      </c>
      <c r="F532" s="45">
        <v>0.155</v>
      </c>
      <c r="G532" s="66">
        <v>46113</v>
      </c>
      <c r="H532" s="45" t="str">
        <f>IF(ISNUMBER(E532),F532-E532,"N/A")</f>
        <v>N/A</v>
      </c>
      <c r="I532" s="46" t="str">
        <f>IF(E532&lt;&gt;"",IF(F532=E532,"No Change",IF(F532&gt;E532,"Increase","Decrease")),"New")</f>
        <v>Increase</v>
      </c>
      <c r="J532" s="58" t="s">
        <v>122</v>
      </c>
      <c r="K532" s="59" t="str">
        <f>IF(LEN(J532)&gt;0,IF(OR(ISLOGICAL(J532),J532="TRUE"),"Yes",""),"")</f>
      </c>
      <c r="L532" s="59"/>
      <c r="M532" s="59"/>
      <c r="N532" s="62" t="str">
        <f>IF(LEN(M532)&gt;0,IF(OR(ISLOGICAL(M532),M532="TRUE"),"Yes",""),"")</f>
      </c>
      <c r="O532" s="59"/>
      <c r="P532" s="62" t="str">
        <f>IF(LEN(O532)&gt;0,IF(OR(ISLOGICAL(O532),O532="TRUE"),"Yes",""),"")</f>
      </c>
      <c r="Q532" s="62" t="s">
        <v>98</v>
      </c>
      <c r="R532" s="63"/>
    </row>
    <row r="533" spans="1:18" s="47" customFormat="1" ht="51">
      <c r="A533" s="63" t="s">
        <v>1140</v>
      </c>
      <c r="B533" s="63" t="s">
        <v>96</v>
      </c>
      <c r="C533" s="63" t="s">
        <v>1141</v>
      </c>
      <c r="D533" s="61"/>
      <c r="E533" s="45">
        <v>0.17</v>
      </c>
      <c r="F533" s="45">
        <v>0.17</v>
      </c>
      <c r="G533" s="66">
        <v>46127</v>
      </c>
      <c r="H533" s="45" t="str">
        <f>IF(ISNUMBER(E533),F533-E533,"N/A")</f>
        <v>N/A</v>
      </c>
      <c r="I533" s="46" t="str">
        <f>IF(E533&lt;&gt;"",IF(F533=E533,"No Change",IF(F533&gt;E533,"Increase","Decrease")),"New")</f>
        <v>Increase</v>
      </c>
      <c r="J533" s="58" t="s">
        <v>122</v>
      </c>
      <c r="K533" s="59" t="str">
        <f>IF(LEN(J533)&gt;0,IF(OR(ISLOGICAL(J533),J533="TRUE"),"Yes",""),"")</f>
      </c>
      <c r="L533" s="59"/>
      <c r="M533" s="59"/>
      <c r="N533" s="62" t="str">
        <f>IF(LEN(M533)&gt;0,IF(OR(ISLOGICAL(M533),M533="TRUE"),"Yes",""),"")</f>
      </c>
      <c r="O533" s="59"/>
      <c r="P533" s="62" t="str">
        <f>IF(LEN(O533)&gt;0,IF(OR(ISLOGICAL(O533),O533="TRUE"),"Yes",""),"")</f>
      </c>
      <c r="Q533" s="62" t="s">
        <v>98</v>
      </c>
      <c r="R533" s="63"/>
    </row>
    <row r="534" spans="1:18" s="47" customFormat="1" ht="51">
      <c r="A534" s="63" t="s">
        <v>1142</v>
      </c>
      <c r="B534" s="63" t="s">
        <v>96</v>
      </c>
      <c r="C534" s="63" t="s">
        <v>1143</v>
      </c>
      <c r="D534" s="61"/>
      <c r="E534" s="45">
        <v>0.139</v>
      </c>
      <c r="F534" s="45">
        <v>0.139</v>
      </c>
      <c r="G534" s="66">
        <v>46082</v>
      </c>
      <c r="H534" s="45" t="str">
        <f>IF(ISNUMBER(E534),F534-E534,"N/A")</f>
        <v>N/A</v>
      </c>
      <c r="I534" s="46" t="str">
        <f>IF(E534&lt;&gt;"",IF(F534=E534,"No Change",IF(F534&gt;E534,"Increase","Decrease")),"New")</f>
        <v>Increase</v>
      </c>
      <c r="J534" s="58"/>
      <c r="K534" s="59" t="str">
        <f>IF(LEN(J534)&gt;0,IF(OR(ISLOGICAL(J534),J534="TRUE"),"Yes",""),"")</f>
      </c>
      <c r="L534" s="59"/>
      <c r="M534" s="59"/>
      <c r="N534" s="62" t="str">
        <f>IF(LEN(M534)&gt;0,IF(OR(ISLOGICAL(M534),M534="TRUE"),"Yes",""),"")</f>
      </c>
      <c r="O534" s="59"/>
      <c r="P534" s="62" t="str">
        <f>IF(LEN(O534)&gt;0,IF(OR(ISLOGICAL(O534),O534="TRUE"),"Yes",""),"")</f>
      </c>
      <c r="Q534" s="62" t="s">
        <v>98</v>
      </c>
      <c r="R534" s="63"/>
    </row>
    <row r="535" spans="1:18" s="47" customFormat="1" ht="51">
      <c r="A535" s="63" t="s">
        <v>1144</v>
      </c>
      <c r="B535" s="63" t="s">
        <v>96</v>
      </c>
      <c r="C535" s="63" t="s">
        <v>1145</v>
      </c>
      <c r="D535" s="61"/>
      <c r="E535" s="45">
        <v>0.175</v>
      </c>
      <c r="F535" s="45">
        <v>0.175</v>
      </c>
      <c r="G535" s="66">
        <v>46085</v>
      </c>
      <c r="H535" s="45" t="str">
        <f>IF(ISNUMBER(E535),F535-E535,"N/A")</f>
        <v>N/A</v>
      </c>
      <c r="I535" s="46" t="str">
        <f>IF(E535&lt;&gt;"",IF(F535=E535,"No Change",IF(F535&gt;E535,"Increase","Decrease")),"New")</f>
        <v>Increase</v>
      </c>
      <c r="J535" s="58"/>
      <c r="K535" s="59" t="str">
        <f>IF(LEN(J535)&gt;0,IF(OR(ISLOGICAL(J535),J535="TRUE"),"Yes",""),"")</f>
      </c>
      <c r="L535" s="59"/>
      <c r="M535" s="59"/>
      <c r="N535" s="62" t="str">
        <f>IF(LEN(M535)&gt;0,IF(OR(ISLOGICAL(M535),M535="TRUE"),"Yes",""),"")</f>
      </c>
      <c r="O535" s="59"/>
      <c r="P535" s="62" t="str">
        <f>IF(LEN(O535)&gt;0,IF(OR(ISLOGICAL(O535),O535="TRUE"),"Yes",""),"")</f>
      </c>
      <c r="Q535" s="62" t="s">
        <v>98</v>
      </c>
      <c r="R535" s="63"/>
    </row>
    <row r="536" spans="1:18" s="47" customFormat="1" ht="51">
      <c r="A536" s="63" t="s">
        <v>1146</v>
      </c>
      <c r="B536" s="63" t="s">
        <v>96</v>
      </c>
      <c r="C536" s="63" t="s">
        <v>1147</v>
      </c>
      <c r="D536" s="61"/>
      <c r="E536" s="45">
        <v>0.1495</v>
      </c>
      <c r="F536" s="45">
        <v>0.1495</v>
      </c>
      <c r="G536" s="66">
        <v>46143</v>
      </c>
      <c r="H536" s="45" t="str">
        <f>IF(ISNUMBER(E536),F536-E536,"N/A")</f>
        <v>N/A</v>
      </c>
      <c r="I536" s="46" t="str">
        <f>IF(E536&lt;&gt;"",IF(F536=E536,"No Change",IF(F536&gt;E536,"Increase","Decrease")),"New")</f>
        <v>Increase</v>
      </c>
      <c r="J536" s="58" t="s">
        <v>122</v>
      </c>
      <c r="K536" s="59" t="str">
        <f>IF(LEN(J536)&gt;0,IF(OR(ISLOGICAL(J536),J536="TRUE"),"Yes",""),"")</f>
      </c>
      <c r="L536" s="59"/>
      <c r="M536" s="59"/>
      <c r="N536" s="62" t="str">
        <f>IF(LEN(M536)&gt;0,IF(OR(ISLOGICAL(M536),M536="TRUE"),"Yes",""),"")</f>
      </c>
      <c r="O536" s="59"/>
      <c r="P536" s="62" t="str">
        <f>IF(LEN(O536)&gt;0,IF(OR(ISLOGICAL(O536),O536="TRUE"),"Yes",""),"")</f>
      </c>
      <c r="Q536" s="62" t="s">
        <v>98</v>
      </c>
      <c r="R536" s="63"/>
    </row>
    <row r="537" spans="1:18" s="47" customFormat="1" ht="51">
      <c r="A537" s="63" t="s">
        <v>1148</v>
      </c>
      <c r="B537" s="63" t="s">
        <v>96</v>
      </c>
      <c r="C537" s="63" t="s">
        <v>1149</v>
      </c>
      <c r="D537" s="61"/>
      <c r="E537" s="45">
        <v>0.16</v>
      </c>
      <c r="F537" s="45">
        <v>0.16</v>
      </c>
      <c r="G537" s="66">
        <v>46036</v>
      </c>
      <c r="H537" s="45" t="str">
        <f>IF(ISNUMBER(E537),F537-E537,"N/A")</f>
        <v>N/A</v>
      </c>
      <c r="I537" s="46" t="str">
        <f>IF(E537&lt;&gt;"",IF(F537=E537,"No Change",IF(F537&gt;E537,"Increase","Decrease")),"New")</f>
        <v>Increase</v>
      </c>
      <c r="J537" s="58" t="s">
        <v>122</v>
      </c>
      <c r="K537" s="59" t="str">
        <f>IF(LEN(J537)&gt;0,IF(OR(ISLOGICAL(J537),J537="TRUE"),"Yes",""),"")</f>
      </c>
      <c r="L537" s="59"/>
      <c r="M537" s="59"/>
      <c r="N537" s="62" t="str">
        <f>IF(LEN(M537)&gt;0,IF(OR(ISLOGICAL(M537),M537="TRUE"),"Yes",""),"")</f>
      </c>
      <c r="O537" s="59"/>
      <c r="P537" s="62" t="str">
        <f>IF(LEN(O537)&gt;0,IF(OR(ISLOGICAL(O537),O537="TRUE"),"Yes",""),"")</f>
      </c>
      <c r="Q537" s="62" t="s">
        <v>98</v>
      </c>
      <c r="R537" s="63"/>
    </row>
    <row r="538" spans="1:18" s="47" customFormat="1" ht="51">
      <c r="A538" s="63" t="s">
        <v>1150</v>
      </c>
      <c r="B538" s="63" t="s">
        <v>96</v>
      </c>
      <c r="C538" s="63" t="s">
        <v>1151</v>
      </c>
      <c r="D538" s="61"/>
      <c r="E538" s="45">
        <v>0.16</v>
      </c>
      <c r="F538" s="45">
        <v>0.16</v>
      </c>
      <c r="G538" s="66">
        <v>46078</v>
      </c>
      <c r="H538" s="45" t="str">
        <f>IF(ISNUMBER(E538),F538-E538,"N/A")</f>
        <v>N/A</v>
      </c>
      <c r="I538" s="46" t="str">
        <f>IF(E538&lt;&gt;"",IF(F538=E538,"No Change",IF(F538&gt;E538,"Increase","Decrease")),"New")</f>
        <v>Increase</v>
      </c>
      <c r="J538" s="58"/>
      <c r="K538" s="59" t="str">
        <f>IF(LEN(J538)&gt;0,IF(OR(ISLOGICAL(J538),J538="TRUE"),"Yes",""),"")</f>
      </c>
      <c r="L538" s="59"/>
      <c r="M538" s="59"/>
      <c r="N538" s="62" t="str">
        <f>IF(LEN(M538)&gt;0,IF(OR(ISLOGICAL(M538),M538="TRUE"),"Yes",""),"")</f>
      </c>
      <c r="O538" s="59"/>
      <c r="P538" s="62" t="str">
        <f>IF(LEN(O538)&gt;0,IF(OR(ISLOGICAL(O538),O538="TRUE"),"Yes",""),"")</f>
      </c>
      <c r="Q538" s="62" t="s">
        <v>98</v>
      </c>
      <c r="R538" s="63"/>
    </row>
    <row r="539" spans="1:18" s="47" customFormat="1" ht="51">
      <c r="A539" s="63" t="s">
        <v>1152</v>
      </c>
      <c r="B539" s="63" t="s">
        <v>96</v>
      </c>
      <c r="C539" s="63" t="s">
        <v>1153</v>
      </c>
      <c r="D539" s="61"/>
      <c r="E539" s="45">
        <v>0.1495</v>
      </c>
      <c r="F539" s="45">
        <v>0.1495</v>
      </c>
      <c r="G539" s="66">
        <v>46143</v>
      </c>
      <c r="H539" s="45" t="str">
        <f>IF(ISNUMBER(E539),F539-E539,"N/A")</f>
        <v>N/A</v>
      </c>
      <c r="I539" s="46" t="str">
        <f>IF(E539&lt;&gt;"",IF(F539=E539,"No Change",IF(F539&gt;E539,"Increase","Decrease")),"New")</f>
        <v>Increase</v>
      </c>
      <c r="J539" s="58" t="s">
        <v>122</v>
      </c>
      <c r="K539" s="59" t="str">
        <f>IF(LEN(J539)&gt;0,IF(OR(ISLOGICAL(J539),J539="TRUE"),"Yes",""),"")</f>
      </c>
      <c r="L539" s="59"/>
      <c r="M539" s="59"/>
      <c r="N539" s="62" t="str">
        <f>IF(LEN(M539)&gt;0,IF(OR(ISLOGICAL(M539),M539="TRUE"),"Yes",""),"")</f>
      </c>
      <c r="O539" s="59"/>
      <c r="P539" s="62" t="str">
        <f>IF(LEN(O539)&gt;0,IF(OR(ISLOGICAL(O539),O539="TRUE"),"Yes",""),"")</f>
      </c>
      <c r="Q539" s="62" t="s">
        <v>98</v>
      </c>
      <c r="R539" s="63"/>
    </row>
    <row r="540" spans="1:18" s="47" customFormat="1" ht="51">
      <c r="A540" s="63" t="s">
        <v>1154</v>
      </c>
      <c r="B540" s="63" t="s">
        <v>96</v>
      </c>
      <c r="C540" s="63" t="s">
        <v>1155</v>
      </c>
      <c r="D540" s="61"/>
      <c r="E540" s="45">
        <v>0.228</v>
      </c>
      <c r="F540" s="45">
        <v>0.228</v>
      </c>
      <c r="G540" s="66">
        <v>46082</v>
      </c>
      <c r="H540" s="45" t="str">
        <f>IF(ISNUMBER(E540),F540-E540,"N/A")</f>
        <v>N/A</v>
      </c>
      <c r="I540" s="46" t="str">
        <f>IF(E540&lt;&gt;"",IF(F540=E540,"No Change",IF(F540&gt;E540,"Increase","Decrease")),"New")</f>
        <v>Increase</v>
      </c>
      <c r="J540" s="58"/>
      <c r="K540" s="59" t="str">
        <f>IF(LEN(J540)&gt;0,IF(OR(ISLOGICAL(J540),J540="TRUE"),"Yes",""),"")</f>
      </c>
      <c r="L540" s="59"/>
      <c r="M540" s="59"/>
      <c r="N540" s="62" t="str">
        <f>IF(LEN(M540)&gt;0,IF(OR(ISLOGICAL(M540),M540="TRUE"),"Yes",""),"")</f>
      </c>
      <c r="O540" s="59"/>
      <c r="P540" s="62" t="str">
        <f>IF(LEN(O540)&gt;0,IF(OR(ISLOGICAL(O540),O540="TRUE"),"Yes",""),"")</f>
      </c>
      <c r="Q540" s="62" t="s">
        <v>98</v>
      </c>
      <c r="R540" s="63"/>
    </row>
    <row r="541" spans="1:18" s="47" customFormat="1" ht="51">
      <c r="A541" s="63" t="s">
        <v>1156</v>
      </c>
      <c r="B541" s="63" t="s">
        <v>96</v>
      </c>
      <c r="C541" s="63" t="s">
        <v>1157</v>
      </c>
      <c r="D541" s="61"/>
      <c r="E541" s="45">
        <v>0.228</v>
      </c>
      <c r="F541" s="45">
        <v>0.228</v>
      </c>
      <c r="G541" s="66">
        <v>46082</v>
      </c>
      <c r="H541" s="45" t="str">
        <f>IF(ISNUMBER(E541),F541-E541,"N/A")</f>
        <v>N/A</v>
      </c>
      <c r="I541" s="46" t="str">
        <f>IF(E541&lt;&gt;"",IF(F541=E541,"No Change",IF(F541&gt;E541,"Increase","Decrease")),"New")</f>
        <v>Increase</v>
      </c>
      <c r="J541" s="58"/>
      <c r="K541" s="59" t="str">
        <f>IF(LEN(J541)&gt;0,IF(OR(ISLOGICAL(J541),J541="TRUE"),"Yes",""),"")</f>
      </c>
      <c r="L541" s="59"/>
      <c r="M541" s="59"/>
      <c r="N541" s="62" t="str">
        <f>IF(LEN(M541)&gt;0,IF(OR(ISLOGICAL(M541),M541="TRUE"),"Yes",""),"")</f>
      </c>
      <c r="O541" s="59"/>
      <c r="P541" s="62" t="str">
        <f>IF(LEN(O541)&gt;0,IF(OR(ISLOGICAL(O541),O541="TRUE"),"Yes",""),"")</f>
      </c>
      <c r="Q541" s="62" t="s">
        <v>98</v>
      </c>
      <c r="R541" s="63"/>
    </row>
    <row r="542" spans="1:18" s="47" customFormat="1" ht="51">
      <c r="A542" s="63" t="s">
        <v>1158</v>
      </c>
      <c r="B542" s="63" t="s">
        <v>96</v>
      </c>
      <c r="C542" s="63" t="s">
        <v>1159</v>
      </c>
      <c r="D542" s="61"/>
      <c r="E542" s="45">
        <v>0.5</v>
      </c>
      <c r="F542" s="45">
        <v>0.5</v>
      </c>
      <c r="G542" s="66">
        <v>46078</v>
      </c>
      <c r="H542" s="45" t="str">
        <f>IF(ISNUMBER(E542),F542-E542,"N/A")</f>
        <v>N/A</v>
      </c>
      <c r="I542" s="46" t="str">
        <f>IF(E542&lt;&gt;"",IF(F542=E542,"No Change",IF(F542&gt;E542,"Increase","Decrease")),"New")</f>
        <v>Increase</v>
      </c>
      <c r="J542" s="58" t="s">
        <v>122</v>
      </c>
      <c r="K542" s="59" t="str">
        <f>IF(LEN(J542)&gt;0,IF(OR(ISLOGICAL(J542),J542="TRUE"),"Yes",""),"")</f>
      </c>
      <c r="L542" s="59"/>
      <c r="M542" s="59"/>
      <c r="N542" s="62" t="str">
        <f>IF(LEN(M542)&gt;0,IF(OR(ISLOGICAL(M542),M542="TRUE"),"Yes",""),"")</f>
      </c>
      <c r="O542" s="59"/>
      <c r="P542" s="62" t="str">
        <f>IF(LEN(O542)&gt;0,IF(OR(ISLOGICAL(O542),O542="TRUE"),"Yes",""),"")</f>
      </c>
      <c r="Q542" s="62" t="s">
        <v>98</v>
      </c>
      <c r="R542" s="63"/>
    </row>
    <row r="543" spans="1:18" s="47" customFormat="1" ht="51">
      <c r="A543" s="63" t="s">
        <v>1160</v>
      </c>
      <c r="B543" s="63" t="s">
        <v>96</v>
      </c>
      <c r="C543" s="63" t="s">
        <v>1161</v>
      </c>
      <c r="D543" s="61"/>
      <c r="E543" s="45">
        <v>0.5</v>
      </c>
      <c r="F543" s="45">
        <v>0.5</v>
      </c>
      <c r="G543" s="66">
        <v>45784</v>
      </c>
      <c r="H543" s="45" t="str">
        <f>IF(ISNUMBER(E543),F543-E543,"N/A")</f>
        <v>N/A</v>
      </c>
      <c r="I543" s="46" t="str">
        <f>IF(E543&lt;&gt;"",IF(F543=E543,"No Change",IF(F543&gt;E543,"Increase","Decrease")),"New")</f>
        <v>Increase</v>
      </c>
      <c r="J543" s="58" t="s">
        <v>122</v>
      </c>
      <c r="K543" s="59" t="str">
        <f>IF(LEN(J543)&gt;0,IF(OR(ISLOGICAL(J543),J543="TRUE"),"Yes",""),"")</f>
      </c>
      <c r="L543" s="59"/>
      <c r="M543" s="59"/>
      <c r="N543" s="62" t="str">
        <f>IF(LEN(M543)&gt;0,IF(OR(ISLOGICAL(M543),M543="TRUE"),"Yes",""),"")</f>
      </c>
      <c r="O543" s="59"/>
      <c r="P543" s="62" t="str">
        <f>IF(LEN(O543)&gt;0,IF(OR(ISLOGICAL(O543),O543="TRUE"),"Yes",""),"")</f>
      </c>
      <c r="Q543" s="62" t="s">
        <v>98</v>
      </c>
      <c r="R543" s="63"/>
    </row>
    <row r="544" spans="1:18" s="47" customFormat="1" ht="51">
      <c r="A544" s="63" t="s">
        <v>1162</v>
      </c>
      <c r="B544" s="63" t="s">
        <v>96</v>
      </c>
      <c r="C544" s="63" t="s">
        <v>1163</v>
      </c>
      <c r="D544" s="61"/>
      <c r="E544" s="45">
        <v>0.5</v>
      </c>
      <c r="F544" s="45">
        <v>0.5</v>
      </c>
      <c r="G544" s="66">
        <v>46082</v>
      </c>
      <c r="H544" s="45" t="str">
        <f>IF(ISNUMBER(E544),F544-E544,"N/A")</f>
        <v>N/A</v>
      </c>
      <c r="I544" s="46" t="str">
        <f>IF(E544&lt;&gt;"",IF(F544=E544,"No Change",IF(F544&gt;E544,"Increase","Decrease")),"New")</f>
        <v>Increase</v>
      </c>
      <c r="J544" s="58" t="s">
        <v>122</v>
      </c>
      <c r="K544" s="59" t="str">
        <f>IF(LEN(J544)&gt;0,IF(OR(ISLOGICAL(J544),J544="TRUE"),"Yes",""),"")</f>
      </c>
      <c r="L544" s="59"/>
      <c r="M544" s="59"/>
      <c r="N544" s="62" t="str">
        <f>IF(LEN(M544)&gt;0,IF(OR(ISLOGICAL(M544),M544="TRUE"),"Yes",""),"")</f>
      </c>
      <c r="O544" s="59"/>
      <c r="P544" s="62" t="str">
        <f>IF(LEN(O544)&gt;0,IF(OR(ISLOGICAL(O544),O544="TRUE"),"Yes",""),"")</f>
      </c>
      <c r="Q544" s="62" t="s">
        <v>98</v>
      </c>
      <c r="R544" s="63"/>
    </row>
    <row r="545" spans="1:18" s="47" customFormat="1" ht="51">
      <c r="A545" s="63" t="s">
        <v>1164</v>
      </c>
      <c r="B545" s="63" t="s">
        <v>96</v>
      </c>
      <c r="C545" s="63" t="s">
        <v>1165</v>
      </c>
      <c r="D545" s="61"/>
      <c r="E545" s="45">
        <v>0.5</v>
      </c>
      <c r="F545" s="45">
        <v>0.5</v>
      </c>
      <c r="G545" s="66">
        <v>46092</v>
      </c>
      <c r="H545" s="45" t="str">
        <f>IF(ISNUMBER(E545),F545-E545,"N/A")</f>
        <v>N/A</v>
      </c>
      <c r="I545" s="46" t="str">
        <f>IF(E545&lt;&gt;"",IF(F545=E545,"No Change",IF(F545&gt;E545,"Increase","Decrease")),"New")</f>
        <v>Increase</v>
      </c>
      <c r="J545" s="58"/>
      <c r="K545" s="59" t="str">
        <f>IF(LEN(J545)&gt;0,IF(OR(ISLOGICAL(J545),J545="TRUE"),"Yes",""),"")</f>
      </c>
      <c r="L545" s="59"/>
      <c r="M545" s="59"/>
      <c r="N545" s="62" t="str">
        <f>IF(LEN(M545)&gt;0,IF(OR(ISLOGICAL(M545),M545="TRUE"),"Yes",""),"")</f>
      </c>
      <c r="O545" s="59"/>
      <c r="P545" s="62" t="str">
        <f>IF(LEN(O545)&gt;0,IF(OR(ISLOGICAL(O545),O545="TRUE"),"Yes",""),"")</f>
      </c>
      <c r="Q545" s="62" t="s">
        <v>98</v>
      </c>
      <c r="R545" s="63"/>
    </row>
    <row r="546" spans="1:18" s="47" customFormat="1" ht="51">
      <c r="A546" s="63" t="s">
        <v>1166</v>
      </c>
      <c r="B546" s="63" t="s">
        <v>96</v>
      </c>
      <c r="C546" s="63" t="s">
        <v>1167</v>
      </c>
      <c r="D546" s="61"/>
      <c r="E546" s="45">
        <v>0.5</v>
      </c>
      <c r="F546" s="45">
        <v>0.5</v>
      </c>
      <c r="G546" s="66">
        <v>46082</v>
      </c>
      <c r="H546" s="45" t="str">
        <f>IF(ISNUMBER(E546),F546-E546,"N/A")</f>
        <v>N/A</v>
      </c>
      <c r="I546" s="46" t="str">
        <f>IF(E546&lt;&gt;"",IF(F546=E546,"No Change",IF(F546&gt;E546,"Increase","Decrease")),"New")</f>
        <v>Increase</v>
      </c>
      <c r="J546" s="58"/>
      <c r="K546" s="59" t="str">
        <f>IF(LEN(J546)&gt;0,IF(OR(ISLOGICAL(J546),J546="TRUE"),"Yes",""),"")</f>
      </c>
      <c r="L546" s="59"/>
      <c r="M546" s="59"/>
      <c r="N546" s="62" t="str">
        <f>IF(LEN(M546)&gt;0,IF(OR(ISLOGICAL(M546),M546="TRUE"),"Yes",""),"")</f>
      </c>
      <c r="O546" s="59"/>
      <c r="P546" s="62" t="str">
        <f>IF(LEN(O546)&gt;0,IF(OR(ISLOGICAL(O546),O546="TRUE"),"Yes",""),"")</f>
      </c>
      <c r="Q546" s="62" t="s">
        <v>98</v>
      </c>
      <c r="R546" s="63"/>
    </row>
    <row r="547" spans="1:18" s="47" customFormat="1" ht="51">
      <c r="A547" s="63" t="s">
        <v>1168</v>
      </c>
      <c r="B547" s="63" t="s">
        <v>96</v>
      </c>
      <c r="C547" s="63" t="s">
        <v>1169</v>
      </c>
      <c r="D547" s="61"/>
      <c r="E547" s="45">
        <v>0.5</v>
      </c>
      <c r="F547" s="45">
        <v>0.5</v>
      </c>
      <c r="G547" s="66">
        <v>45784</v>
      </c>
      <c r="H547" s="45" t="str">
        <f>IF(ISNUMBER(E547),F547-E547,"N/A")</f>
        <v>N/A</v>
      </c>
      <c r="I547" s="46" t="str">
        <f>IF(E547&lt;&gt;"",IF(F547=E547,"No Change",IF(F547&gt;E547,"Increase","Decrease")),"New")</f>
        <v>Increase</v>
      </c>
      <c r="J547" s="58" t="s">
        <v>122</v>
      </c>
      <c r="K547" s="59" t="str">
        <f>IF(LEN(J547)&gt;0,IF(OR(ISLOGICAL(J547),J547="TRUE"),"Yes",""),"")</f>
      </c>
      <c r="L547" s="59"/>
      <c r="M547" s="59"/>
      <c r="N547" s="62" t="str">
        <f>IF(LEN(M547)&gt;0,IF(OR(ISLOGICAL(M547),M547="TRUE"),"Yes",""),"")</f>
      </c>
      <c r="O547" s="59"/>
      <c r="P547" s="62" t="str">
        <f>IF(LEN(O547)&gt;0,IF(OR(ISLOGICAL(O547),O547="TRUE"),"Yes",""),"")</f>
      </c>
      <c r="Q547" s="62" t="s">
        <v>98</v>
      </c>
      <c r="R547" s="63"/>
    </row>
    <row r="548" spans="1:18" s="47" customFormat="1" ht="51">
      <c r="A548" s="63" t="s">
        <v>1170</v>
      </c>
      <c r="B548" s="63" t="s">
        <v>96</v>
      </c>
      <c r="C548" s="63" t="s">
        <v>1171</v>
      </c>
      <c r="D548" s="61"/>
      <c r="E548" s="45">
        <v>0.113</v>
      </c>
      <c r="F548" s="45">
        <v>0.113</v>
      </c>
      <c r="G548" s="66">
        <v>46120</v>
      </c>
      <c r="H548" s="45" t="str">
        <f>IF(ISNUMBER(E548),F548-E548,"N/A")</f>
        <v>N/A</v>
      </c>
      <c r="I548" s="46" t="str">
        <f>IF(E548&lt;&gt;"",IF(F548=E548,"No Change",IF(F548&gt;E548,"Increase","Decrease")),"New")</f>
        <v>Increase</v>
      </c>
      <c r="J548" s="58"/>
      <c r="K548" s="59" t="str">
        <f>IF(LEN(J548)&gt;0,IF(OR(ISLOGICAL(J548),J548="TRUE"),"Yes",""),"")</f>
      </c>
      <c r="L548" s="59"/>
      <c r="M548" s="59"/>
      <c r="N548" s="62" t="str">
        <f>IF(LEN(M548)&gt;0,IF(OR(ISLOGICAL(M548),M548="TRUE"),"Yes",""),"")</f>
      </c>
      <c r="O548" s="59"/>
      <c r="P548" s="62" t="str">
        <f>IF(LEN(O548)&gt;0,IF(OR(ISLOGICAL(O548),O548="TRUE"),"Yes",""),"")</f>
      </c>
      <c r="Q548" s="62" t="s">
        <v>98</v>
      </c>
      <c r="R548" s="63"/>
    </row>
    <row r="549" spans="1:18" s="47" customFormat="1" ht="51">
      <c r="A549" s="63" t="s">
        <v>1172</v>
      </c>
      <c r="B549" s="63" t="s">
        <v>96</v>
      </c>
      <c r="C549" s="63" t="s">
        <v>1173</v>
      </c>
      <c r="D549" s="61"/>
      <c r="E549" s="45">
        <v>0.1</v>
      </c>
      <c r="F549" s="45">
        <v>0.1</v>
      </c>
      <c r="G549" s="66">
        <v>46082</v>
      </c>
      <c r="H549" s="45" t="str">
        <f>IF(ISNUMBER(E549),F549-E549,"N/A")</f>
        <v>N/A</v>
      </c>
      <c r="I549" s="46" t="str">
        <f>IF(E549&lt;&gt;"",IF(F549=E549,"No Change",IF(F549&gt;E549,"Increase","Decrease")),"New")</f>
        <v>Increase</v>
      </c>
      <c r="J549" s="58"/>
      <c r="K549" s="59" t="str">
        <f>IF(LEN(J549)&gt;0,IF(OR(ISLOGICAL(J549),J549="TRUE"),"Yes",""),"")</f>
      </c>
      <c r="L549" s="59"/>
      <c r="M549" s="59"/>
      <c r="N549" s="62" t="str">
        <f>IF(LEN(M549)&gt;0,IF(OR(ISLOGICAL(M549),M549="TRUE"),"Yes",""),"")</f>
      </c>
      <c r="O549" s="59"/>
      <c r="P549" s="62" t="str">
        <f>IF(LEN(O549)&gt;0,IF(OR(ISLOGICAL(O549),O549="TRUE"),"Yes",""),"")</f>
      </c>
      <c r="Q549" s="62" t="s">
        <v>98</v>
      </c>
      <c r="R549" s="63"/>
    </row>
    <row r="550" spans="1:18" s="47" customFormat="1" ht="51">
      <c r="A550" s="63" t="s">
        <v>1174</v>
      </c>
      <c r="B550" s="63" t="s">
        <v>96</v>
      </c>
      <c r="C550" s="63" t="s">
        <v>1175</v>
      </c>
      <c r="D550" s="61"/>
      <c r="E550" s="45">
        <v>3.25</v>
      </c>
      <c r="F550" s="45">
        <v>3.25</v>
      </c>
      <c r="G550" s="66">
        <v>45805</v>
      </c>
      <c r="H550" s="45" t="str">
        <f>IF(ISNUMBER(E550),F550-E550,"N/A")</f>
        <v>N/A</v>
      </c>
      <c r="I550" s="46" t="str">
        <f>IF(E550&lt;&gt;"",IF(F550=E550,"No Change",IF(F550&gt;E550,"Increase","Decrease")),"New")</f>
        <v>Increase</v>
      </c>
      <c r="J550" s="58"/>
      <c r="K550" s="59" t="str">
        <f>IF(LEN(J550)&gt;0,IF(OR(ISLOGICAL(J550),J550="TRUE"),"Yes",""),"")</f>
      </c>
      <c r="L550" s="59"/>
      <c r="M550" s="59"/>
      <c r="N550" s="62" t="str">
        <f>IF(LEN(M550)&gt;0,IF(OR(ISLOGICAL(M550),M550="TRUE"),"Yes",""),"")</f>
      </c>
      <c r="O550" s="59"/>
      <c r="P550" s="62" t="str">
        <f>IF(LEN(O550)&gt;0,IF(OR(ISLOGICAL(O550),O550="TRUE"),"Yes",""),"")</f>
      </c>
      <c r="Q550" s="62" t="s">
        <v>109</v>
      </c>
      <c r="R550" s="63"/>
    </row>
    <row r="551" spans="1:18" s="47" customFormat="1" ht="51">
      <c r="A551" s="63" t="s">
        <v>1176</v>
      </c>
      <c r="B551" s="63" t="s">
        <v>96</v>
      </c>
      <c r="C551" s="63" t="s">
        <v>1177</v>
      </c>
      <c r="D551" s="61"/>
      <c r="E551" s="45">
        <v>0.0225</v>
      </c>
      <c r="F551" s="45">
        <v>0.0225</v>
      </c>
      <c r="G551" s="66">
        <v>46127</v>
      </c>
      <c r="H551" s="45" t="str">
        <f>IF(ISNUMBER(E551),F551-E551,"N/A")</f>
        <v>N/A</v>
      </c>
      <c r="I551" s="46" t="str">
        <f>IF(E551&lt;&gt;"",IF(F551=E551,"No Change",IF(F551&gt;E551,"Increase","Decrease")),"New")</f>
        <v>Increase</v>
      </c>
      <c r="J551" s="58"/>
      <c r="K551" s="59" t="str">
        <f>IF(LEN(J551)&gt;0,IF(OR(ISLOGICAL(J551),J551="TRUE"),"Yes",""),"")</f>
      </c>
      <c r="L551" s="59"/>
      <c r="M551" s="59"/>
      <c r="N551" s="62" t="str">
        <f>IF(LEN(M551)&gt;0,IF(OR(ISLOGICAL(M551),M551="TRUE"),"Yes",""),"")</f>
      </c>
      <c r="O551" s="59"/>
      <c r="P551" s="62" t="str">
        <f>IF(LEN(O551)&gt;0,IF(OR(ISLOGICAL(O551),O551="TRUE"),"Yes",""),"")</f>
      </c>
      <c r="Q551" s="62" t="s">
        <v>98</v>
      </c>
      <c r="R551" s="63"/>
    </row>
    <row r="552" spans="1:18" s="47" customFormat="1" ht="51">
      <c r="A552" s="63" t="s">
        <v>1178</v>
      </c>
      <c r="B552" s="63" t="s">
        <v>96</v>
      </c>
      <c r="C552" s="63" t="s">
        <v>1179</v>
      </c>
      <c r="D552" s="61"/>
      <c r="E552" s="45">
        <v>0.075</v>
      </c>
      <c r="F552" s="45">
        <v>0.075</v>
      </c>
      <c r="G552" s="66">
        <v>46120</v>
      </c>
      <c r="H552" s="45" t="str">
        <f>IF(ISNUMBER(E552),F552-E552,"N/A")</f>
        <v>N/A</v>
      </c>
      <c r="I552" s="46" t="str">
        <f>IF(E552&lt;&gt;"",IF(F552=E552,"No Change",IF(F552&gt;E552,"Increase","Decrease")),"New")</f>
        <v>Increase</v>
      </c>
      <c r="J552" s="58" t="s">
        <v>122</v>
      </c>
      <c r="K552" s="59" t="str">
        <f>IF(LEN(J552)&gt;0,IF(OR(ISLOGICAL(J552),J552="TRUE"),"Yes",""),"")</f>
      </c>
      <c r="L552" s="59"/>
      <c r="M552" s="59"/>
      <c r="N552" s="62" t="str">
        <f>IF(LEN(M552)&gt;0,IF(OR(ISLOGICAL(M552),M552="TRUE"),"Yes",""),"")</f>
      </c>
      <c r="O552" s="59"/>
      <c r="P552" s="62" t="str">
        <f>IF(LEN(O552)&gt;0,IF(OR(ISLOGICAL(O552),O552="TRUE"),"Yes",""),"")</f>
      </c>
      <c r="Q552" s="62" t="s">
        <v>98</v>
      </c>
      <c r="R552" s="63"/>
    </row>
    <row r="553" spans="1:18" s="47" customFormat="1" ht="51">
      <c r="A553" s="63" t="s">
        <v>1180</v>
      </c>
      <c r="B553" s="63" t="s">
        <v>96</v>
      </c>
      <c r="C553" s="63" t="s">
        <v>1181</v>
      </c>
      <c r="D553" s="61"/>
      <c r="E553" s="45">
        <v>0.199</v>
      </c>
      <c r="F553" s="45">
        <v>0.199</v>
      </c>
      <c r="G553" s="66">
        <v>46082</v>
      </c>
      <c r="H553" s="45" t="str">
        <f>IF(ISNUMBER(E553),F553-E553,"N/A")</f>
        <v>N/A</v>
      </c>
      <c r="I553" s="46" t="str">
        <f>IF(E553&lt;&gt;"",IF(F553=E553,"No Change",IF(F553&gt;E553,"Increase","Decrease")),"New")</f>
        <v>Increase</v>
      </c>
      <c r="J553" s="58"/>
      <c r="K553" s="59" t="str">
        <f>IF(LEN(J553)&gt;0,IF(OR(ISLOGICAL(J553),J553="TRUE"),"Yes",""),"")</f>
      </c>
      <c r="L553" s="59"/>
      <c r="M553" s="59"/>
      <c r="N553" s="62" t="str">
        <f>IF(LEN(M553)&gt;0,IF(OR(ISLOGICAL(M553),M553="TRUE"),"Yes",""),"")</f>
      </c>
      <c r="O553" s="59"/>
      <c r="P553" s="62" t="str">
        <f>IF(LEN(O553)&gt;0,IF(OR(ISLOGICAL(O553),O553="TRUE"),"Yes",""),"")</f>
      </c>
      <c r="Q553" s="62" t="s">
        <v>98</v>
      </c>
      <c r="R553" s="63"/>
    </row>
    <row r="554" spans="1:18" s="47" customFormat="1" ht="51">
      <c r="A554" s="63" t="s">
        <v>1182</v>
      </c>
      <c r="B554" s="63" t="s">
        <v>96</v>
      </c>
      <c r="C554" s="63" t="s">
        <v>1183</v>
      </c>
      <c r="D554" s="61"/>
      <c r="E554" s="45">
        <v>0.199</v>
      </c>
      <c r="F554" s="45">
        <v>0.199</v>
      </c>
      <c r="G554" s="66">
        <v>46082</v>
      </c>
      <c r="H554" s="45" t="str">
        <f>IF(ISNUMBER(E554),F554-E554,"N/A")</f>
        <v>N/A</v>
      </c>
      <c r="I554" s="46" t="str">
        <f>IF(E554&lt;&gt;"",IF(F554=E554,"No Change",IF(F554&gt;E554,"Increase","Decrease")),"New")</f>
        <v>Increase</v>
      </c>
      <c r="J554" s="58" t="s">
        <v>122</v>
      </c>
      <c r="K554" s="59" t="str">
        <f>IF(LEN(J554)&gt;0,IF(OR(ISLOGICAL(J554),J554="TRUE"),"Yes",""),"")</f>
      </c>
      <c r="L554" s="59"/>
      <c r="M554" s="59"/>
      <c r="N554" s="62" t="str">
        <f>IF(LEN(M554)&gt;0,IF(OR(ISLOGICAL(M554),M554="TRUE"),"Yes",""),"")</f>
      </c>
      <c r="O554" s="59"/>
      <c r="P554" s="62" t="str">
        <f>IF(LEN(O554)&gt;0,IF(OR(ISLOGICAL(O554),O554="TRUE"),"Yes",""),"")</f>
      </c>
      <c r="Q554" s="62" t="s">
        <v>98</v>
      </c>
      <c r="R554" s="63"/>
    </row>
    <row r="555" spans="1:18" s="47" customFormat="1" ht="51">
      <c r="A555" s="63" t="s">
        <v>1184</v>
      </c>
      <c r="B555" s="63" t="s">
        <v>96</v>
      </c>
      <c r="C555" s="63" t="s">
        <v>1185</v>
      </c>
      <c r="D555" s="61"/>
      <c r="E555" s="45">
        <v>0.0016</v>
      </c>
      <c r="F555" s="45">
        <v>0.0016</v>
      </c>
      <c r="G555" s="66">
        <v>46106</v>
      </c>
      <c r="H555" s="45" t="str">
        <f>IF(ISNUMBER(E555),F555-E555,"N/A")</f>
        <v>N/A</v>
      </c>
      <c r="I555" s="46" t="str">
        <f>IF(E555&lt;&gt;"",IF(F555=E555,"No Change",IF(F555&gt;E555,"Increase","Decrease")),"New")</f>
        <v>Increase</v>
      </c>
      <c r="J555" s="58"/>
      <c r="K555" s="59" t="str">
        <f>IF(LEN(J555)&gt;0,IF(OR(ISLOGICAL(J555),J555="TRUE"),"Yes",""),"")</f>
      </c>
      <c r="L555" s="59"/>
      <c r="M555" s="59"/>
      <c r="N555" s="62" t="str">
        <f>IF(LEN(M555)&gt;0,IF(OR(ISLOGICAL(M555),M555="TRUE"),"Yes",""),"")</f>
      </c>
      <c r="O555" s="59"/>
      <c r="P555" s="62" t="str">
        <f>IF(LEN(O555)&gt;0,IF(OR(ISLOGICAL(O555),O555="TRUE"),"Yes",""),"")</f>
      </c>
      <c r="Q555" s="62" t="s">
        <v>98</v>
      </c>
      <c r="R555" s="63"/>
    </row>
    <row r="556" spans="1:18" s="47" customFormat="1" ht="51">
      <c r="A556" s="63" t="s">
        <v>1186</v>
      </c>
      <c r="B556" s="63" t="s">
        <v>96</v>
      </c>
      <c r="C556" s="63" t="s">
        <v>1187</v>
      </c>
      <c r="D556" s="61"/>
      <c r="E556" s="45">
        <v>0.1076</v>
      </c>
      <c r="F556" s="45">
        <v>0.1076</v>
      </c>
      <c r="G556" s="66">
        <v>46082</v>
      </c>
      <c r="H556" s="45" t="str">
        <f>IF(ISNUMBER(E556),F556-E556,"N/A")</f>
        <v>N/A</v>
      </c>
      <c r="I556" s="46" t="str">
        <f>IF(E556&lt;&gt;"",IF(F556=E556,"No Change",IF(F556&gt;E556,"Increase","Decrease")),"New")</f>
        <v>Increase</v>
      </c>
      <c r="J556" s="58"/>
      <c r="K556" s="59" t="str">
        <f>IF(LEN(J556)&gt;0,IF(OR(ISLOGICAL(J556),J556="TRUE"),"Yes",""),"")</f>
      </c>
      <c r="L556" s="59"/>
      <c r="M556" s="59"/>
      <c r="N556" s="62" t="str">
        <f>IF(LEN(M556)&gt;0,IF(OR(ISLOGICAL(M556),M556="TRUE"),"Yes",""),"")</f>
      </c>
      <c r="O556" s="59"/>
      <c r="P556" s="62" t="str">
        <f>IF(LEN(O556)&gt;0,IF(OR(ISLOGICAL(O556),O556="TRUE"),"Yes",""),"")</f>
      </c>
      <c r="Q556" s="62" t="s">
        <v>98</v>
      </c>
      <c r="R556" s="63"/>
    </row>
    <row r="557" spans="1:18" s="47" customFormat="1" ht="51">
      <c r="A557" s="63" t="s">
        <v>1188</v>
      </c>
      <c r="B557" s="63" t="s">
        <v>96</v>
      </c>
      <c r="C557" s="63" t="s">
        <v>1189</v>
      </c>
      <c r="D557" s="61"/>
      <c r="E557" s="45">
        <v>0.1076</v>
      </c>
      <c r="F557" s="45">
        <v>0.1076</v>
      </c>
      <c r="G557" s="66">
        <v>46082</v>
      </c>
      <c r="H557" s="45" t="str">
        <f>IF(ISNUMBER(E557),F557-E557,"N/A")</f>
        <v>N/A</v>
      </c>
      <c r="I557" s="46" t="str">
        <f>IF(E557&lt;&gt;"",IF(F557=E557,"No Change",IF(F557&gt;E557,"Increase","Decrease")),"New")</f>
        <v>Increase</v>
      </c>
      <c r="J557" s="58"/>
      <c r="K557" s="59" t="str">
        <f>IF(LEN(J557)&gt;0,IF(OR(ISLOGICAL(J557),J557="TRUE"),"Yes",""),"")</f>
      </c>
      <c r="L557" s="59"/>
      <c r="M557" s="59"/>
      <c r="N557" s="62" t="str">
        <f>IF(LEN(M557)&gt;0,IF(OR(ISLOGICAL(M557),M557="TRUE"),"Yes",""),"")</f>
      </c>
      <c r="O557" s="59"/>
      <c r="P557" s="62" t="str">
        <f>IF(LEN(O557)&gt;0,IF(OR(ISLOGICAL(O557),O557="TRUE"),"Yes",""),"")</f>
      </c>
      <c r="Q557" s="62" t="s">
        <v>98</v>
      </c>
      <c r="R557" s="63"/>
    </row>
    <row r="558" spans="1:18" s="47" customFormat="1" ht="51">
      <c r="A558" s="63" t="s">
        <v>1190</v>
      </c>
      <c r="B558" s="63" t="s">
        <v>96</v>
      </c>
      <c r="C558" s="63" t="s">
        <v>1191</v>
      </c>
      <c r="D558" s="61"/>
      <c r="E558" s="45">
        <v>0.1076</v>
      </c>
      <c r="F558" s="45">
        <v>0.1076</v>
      </c>
      <c r="G558" s="66">
        <v>46078</v>
      </c>
      <c r="H558" s="45" t="str">
        <f>IF(ISNUMBER(E558),F558-E558,"N/A")</f>
        <v>N/A</v>
      </c>
      <c r="I558" s="46" t="str">
        <f>IF(E558&lt;&gt;"",IF(F558=E558,"No Change",IF(F558&gt;E558,"Increase","Decrease")),"New")</f>
        <v>Increase</v>
      </c>
      <c r="J558" s="58" t="s">
        <v>122</v>
      </c>
      <c r="K558" s="59" t="str">
        <f>IF(LEN(J558)&gt;0,IF(OR(ISLOGICAL(J558),J558="TRUE"),"Yes",""),"")</f>
      </c>
      <c r="L558" s="59"/>
      <c r="M558" s="59"/>
      <c r="N558" s="62" t="str">
        <f>IF(LEN(M558)&gt;0,IF(OR(ISLOGICAL(M558),M558="TRUE"),"Yes",""),"")</f>
      </c>
      <c r="O558" s="59"/>
      <c r="P558" s="62" t="str">
        <f>IF(LEN(O558)&gt;0,IF(OR(ISLOGICAL(O558),O558="TRUE"),"Yes",""),"")</f>
      </c>
      <c r="Q558" s="62" t="s">
        <v>98</v>
      </c>
      <c r="R558" s="63"/>
    </row>
    <row r="559" spans="1:18" s="47" customFormat="1" ht="51">
      <c r="A559" s="63" t="s">
        <v>1192</v>
      </c>
      <c r="B559" s="63" t="s">
        <v>96</v>
      </c>
      <c r="C559" s="63" t="s">
        <v>1193</v>
      </c>
      <c r="D559" s="61"/>
      <c r="E559" s="45">
        <v>0.1076</v>
      </c>
      <c r="F559" s="45">
        <v>0.1076</v>
      </c>
      <c r="G559" s="66">
        <v>46085</v>
      </c>
      <c r="H559" s="45" t="str">
        <f>IF(ISNUMBER(E559),F559-E559,"N/A")</f>
        <v>N/A</v>
      </c>
      <c r="I559" s="46" t="str">
        <f>IF(E559&lt;&gt;"",IF(F559=E559,"No Change",IF(F559&gt;E559,"Increase","Decrease")),"New")</f>
        <v>Increase</v>
      </c>
      <c r="J559" s="58"/>
      <c r="K559" s="59" t="str">
        <f>IF(LEN(J559)&gt;0,IF(OR(ISLOGICAL(J559),J559="TRUE"),"Yes",""),"")</f>
      </c>
      <c r="L559" s="59"/>
      <c r="M559" s="59"/>
      <c r="N559" s="62" t="str">
        <f>IF(LEN(M559)&gt;0,IF(OR(ISLOGICAL(M559),M559="TRUE"),"Yes",""),"")</f>
      </c>
      <c r="O559" s="59"/>
      <c r="P559" s="62" t="str">
        <f>IF(LEN(O559)&gt;0,IF(OR(ISLOGICAL(O559),O559="TRUE"),"Yes",""),"")</f>
      </c>
      <c r="Q559" s="62" t="s">
        <v>98</v>
      </c>
      <c r="R559" s="63"/>
    </row>
    <row r="560" spans="1:18" s="47" customFormat="1" ht="51">
      <c r="A560" s="63" t="s">
        <v>1194</v>
      </c>
      <c r="B560" s="63" t="s">
        <v>96</v>
      </c>
      <c r="C560" s="63" t="s">
        <v>1195</v>
      </c>
      <c r="D560" s="61"/>
      <c r="E560" s="45">
        <v>0.1076</v>
      </c>
      <c r="F560" s="45">
        <v>0.1076</v>
      </c>
      <c r="G560" s="66">
        <v>46082</v>
      </c>
      <c r="H560" s="45" t="str">
        <f>IF(ISNUMBER(E560),F560-E560,"N/A")</f>
        <v>N/A</v>
      </c>
      <c r="I560" s="46" t="str">
        <f>IF(E560&lt;&gt;"",IF(F560=E560,"No Change",IF(F560&gt;E560,"Increase","Decrease")),"New")</f>
        <v>Increase</v>
      </c>
      <c r="J560" s="58"/>
      <c r="K560" s="59" t="str">
        <f>IF(LEN(J560)&gt;0,IF(OR(ISLOGICAL(J560),J560="TRUE"),"Yes",""),"")</f>
      </c>
      <c r="L560" s="59"/>
      <c r="M560" s="59"/>
      <c r="N560" s="62" t="str">
        <f>IF(LEN(M560)&gt;0,IF(OR(ISLOGICAL(M560),M560="TRUE"),"Yes",""),"")</f>
      </c>
      <c r="O560" s="59"/>
      <c r="P560" s="62" t="str">
        <f>IF(LEN(O560)&gt;0,IF(OR(ISLOGICAL(O560),O560="TRUE"),"Yes",""),"")</f>
      </c>
      <c r="Q560" s="62" t="s">
        <v>98</v>
      </c>
      <c r="R560" s="63"/>
    </row>
    <row r="561" spans="1:18" s="47" customFormat="1" ht="51">
      <c r="A561" s="63" t="s">
        <v>1196</v>
      </c>
      <c r="B561" s="63" t="s">
        <v>96</v>
      </c>
      <c r="C561" s="63" t="s">
        <v>1197</v>
      </c>
      <c r="D561" s="61"/>
      <c r="E561" s="45">
        <v>0.1076</v>
      </c>
      <c r="F561" s="45">
        <v>0.1076</v>
      </c>
      <c r="G561" s="66">
        <v>46082</v>
      </c>
      <c r="H561" s="45" t="str">
        <f>IF(ISNUMBER(E561),F561-E561,"N/A")</f>
        <v>N/A</v>
      </c>
      <c r="I561" s="46" t="str">
        <f>IF(E561&lt;&gt;"",IF(F561=E561,"No Change",IF(F561&gt;E561,"Increase","Decrease")),"New")</f>
        <v>Increase</v>
      </c>
      <c r="J561" s="58"/>
      <c r="K561" s="59" t="str">
        <f>IF(LEN(J561)&gt;0,IF(OR(ISLOGICAL(J561),J561="TRUE"),"Yes",""),"")</f>
      </c>
      <c r="L561" s="59"/>
      <c r="M561" s="59"/>
      <c r="N561" s="62" t="str">
        <f>IF(LEN(M561)&gt;0,IF(OR(ISLOGICAL(M561),M561="TRUE"),"Yes",""),"")</f>
      </c>
      <c r="O561" s="59"/>
      <c r="P561" s="62" t="str">
        <f>IF(LEN(O561)&gt;0,IF(OR(ISLOGICAL(O561),O561="TRUE"),"Yes",""),"")</f>
      </c>
      <c r="Q561" s="62" t="s">
        <v>98</v>
      </c>
      <c r="R561" s="63"/>
    </row>
    <row r="562" spans="1:18" s="47" customFormat="1" ht="51">
      <c r="A562" s="63" t="s">
        <v>1198</v>
      </c>
      <c r="B562" s="63" t="s">
        <v>96</v>
      </c>
      <c r="C562" s="63" t="s">
        <v>1199</v>
      </c>
      <c r="D562" s="61"/>
      <c r="E562" s="45">
        <v>0.1076</v>
      </c>
      <c r="F562" s="45">
        <v>0.1076</v>
      </c>
      <c r="G562" s="66">
        <v>46078</v>
      </c>
      <c r="H562" s="45" t="str">
        <f>IF(ISNUMBER(E562),F562-E562,"N/A")</f>
        <v>N/A</v>
      </c>
      <c r="I562" s="46" t="str">
        <f>IF(E562&lt;&gt;"",IF(F562=E562,"No Change",IF(F562&gt;E562,"Increase","Decrease")),"New")</f>
        <v>Increase</v>
      </c>
      <c r="J562" s="58" t="s">
        <v>122</v>
      </c>
      <c r="K562" s="59" t="str">
        <f>IF(LEN(J562)&gt;0,IF(OR(ISLOGICAL(J562),J562="TRUE"),"Yes",""),"")</f>
      </c>
      <c r="L562" s="59"/>
      <c r="M562" s="59"/>
      <c r="N562" s="62" t="str">
        <f>IF(LEN(M562)&gt;0,IF(OR(ISLOGICAL(M562),M562="TRUE"),"Yes",""),"")</f>
      </c>
      <c r="O562" s="59"/>
      <c r="P562" s="62" t="str">
        <f>IF(LEN(O562)&gt;0,IF(OR(ISLOGICAL(O562),O562="TRUE"),"Yes",""),"")</f>
      </c>
      <c r="Q562" s="62" t="s">
        <v>98</v>
      </c>
      <c r="R562" s="63"/>
    </row>
    <row r="563" spans="1:18" s="47" customFormat="1" ht="51">
      <c r="A563" s="63" t="s">
        <v>1200</v>
      </c>
      <c r="B563" s="63" t="s">
        <v>96</v>
      </c>
      <c r="C563" s="63" t="s">
        <v>1201</v>
      </c>
      <c r="D563" s="61"/>
      <c r="E563" s="45">
        <v>0.1076</v>
      </c>
      <c r="F563" s="45">
        <v>0.1076</v>
      </c>
      <c r="G563" s="66">
        <v>46078</v>
      </c>
      <c r="H563" s="45" t="str">
        <f>IF(ISNUMBER(E563),F563-E563,"N/A")</f>
        <v>N/A</v>
      </c>
      <c r="I563" s="46" t="str">
        <f>IF(E563&lt;&gt;"",IF(F563=E563,"No Change",IF(F563&gt;E563,"Increase","Decrease")),"New")</f>
        <v>Increase</v>
      </c>
      <c r="J563" s="58" t="s">
        <v>122</v>
      </c>
      <c r="K563" s="59" t="str">
        <f>IF(LEN(J563)&gt;0,IF(OR(ISLOGICAL(J563),J563="TRUE"),"Yes",""),"")</f>
      </c>
      <c r="L563" s="59"/>
      <c r="M563" s="59"/>
      <c r="N563" s="62" t="str">
        <f>IF(LEN(M563)&gt;0,IF(OR(ISLOGICAL(M563),M563="TRUE"),"Yes",""),"")</f>
      </c>
      <c r="O563" s="59"/>
      <c r="P563" s="62" t="str">
        <f>IF(LEN(O563)&gt;0,IF(OR(ISLOGICAL(O563),O563="TRUE"),"Yes",""),"")</f>
      </c>
      <c r="Q563" s="62" t="s">
        <v>98</v>
      </c>
      <c r="R563" s="63"/>
    </row>
    <row r="564" spans="1:18" s="47" customFormat="1" ht="51">
      <c r="A564" s="63" t="s">
        <v>1202</v>
      </c>
      <c r="B564" s="63" t="s">
        <v>96</v>
      </c>
      <c r="C564" s="63" t="s">
        <v>1203</v>
      </c>
      <c r="D564" s="61"/>
      <c r="E564" s="45">
        <v>0.1076</v>
      </c>
      <c r="F564" s="45">
        <v>0.1076</v>
      </c>
      <c r="G564" s="66">
        <v>46092</v>
      </c>
      <c r="H564" s="45" t="str">
        <f>IF(ISNUMBER(E564),F564-E564,"N/A")</f>
        <v>N/A</v>
      </c>
      <c r="I564" s="46" t="str">
        <f>IF(E564&lt;&gt;"",IF(F564=E564,"No Change",IF(F564&gt;E564,"Increase","Decrease")),"New")</f>
        <v>Increase</v>
      </c>
      <c r="J564" s="58" t="s">
        <v>122</v>
      </c>
      <c r="K564" s="59" t="str">
        <f>IF(LEN(J564)&gt;0,IF(OR(ISLOGICAL(J564),J564="TRUE"),"Yes",""),"")</f>
      </c>
      <c r="L564" s="59"/>
      <c r="M564" s="59"/>
      <c r="N564" s="62" t="str">
        <f>IF(LEN(M564)&gt;0,IF(OR(ISLOGICAL(M564),M564="TRUE"),"Yes",""),"")</f>
      </c>
      <c r="O564" s="59"/>
      <c r="P564" s="62" t="str">
        <f>IF(LEN(O564)&gt;0,IF(OR(ISLOGICAL(O564),O564="TRUE"),"Yes",""),"")</f>
      </c>
      <c r="Q564" s="62" t="s">
        <v>98</v>
      </c>
      <c r="R564" s="63"/>
    </row>
    <row r="565" spans="1:18" s="47" customFormat="1" ht="51">
      <c r="A565" s="63" t="s">
        <v>1204</v>
      </c>
      <c r="B565" s="63" t="s">
        <v>96</v>
      </c>
      <c r="C565" s="63" t="s">
        <v>1205</v>
      </c>
      <c r="D565" s="61"/>
      <c r="E565" s="45">
        <v>0.0013</v>
      </c>
      <c r="F565" s="45">
        <v>0.0013</v>
      </c>
      <c r="G565" s="66">
        <v>46082</v>
      </c>
      <c r="H565" s="45" t="str">
        <f>IF(ISNUMBER(E565),F565-E565,"N/A")</f>
        <v>N/A</v>
      </c>
      <c r="I565" s="46" t="str">
        <f>IF(E565&lt;&gt;"",IF(F565=E565,"No Change",IF(F565&gt;E565,"Increase","Decrease")),"New")</f>
        <v>Increase</v>
      </c>
      <c r="J565" s="58"/>
      <c r="K565" s="59" t="str">
        <f>IF(LEN(J565)&gt;0,IF(OR(ISLOGICAL(J565),J565="TRUE"),"Yes",""),"")</f>
      </c>
      <c r="L565" s="59"/>
      <c r="M565" s="59"/>
      <c r="N565" s="62" t="str">
        <f>IF(LEN(M565)&gt;0,IF(OR(ISLOGICAL(M565),M565="TRUE"),"Yes",""),"")</f>
      </c>
      <c r="O565" s="59"/>
      <c r="P565" s="62" t="str">
        <f>IF(LEN(O565)&gt;0,IF(OR(ISLOGICAL(O565),O565="TRUE"),"Yes",""),"")</f>
      </c>
      <c r="Q565" s="62" t="s">
        <v>98</v>
      </c>
      <c r="R565" s="63"/>
    </row>
    <row r="566" spans="1:18" s="47" customFormat="1" ht="51">
      <c r="A566" s="63" t="s">
        <v>1206</v>
      </c>
      <c r="B566" s="63" t="s">
        <v>96</v>
      </c>
      <c r="C566" s="63" t="s">
        <v>1207</v>
      </c>
      <c r="D566" s="61"/>
      <c r="E566" s="45">
        <v>0.0013</v>
      </c>
      <c r="F566" s="45">
        <v>0.0013</v>
      </c>
      <c r="G566" s="66">
        <v>46082</v>
      </c>
      <c r="H566" s="45" t="str">
        <f>IF(ISNUMBER(E566),F566-E566,"N/A")</f>
        <v>N/A</v>
      </c>
      <c r="I566" s="46" t="str">
        <f>IF(E566&lt;&gt;"",IF(F566=E566,"No Change",IF(F566&gt;E566,"Increase","Decrease")),"New")</f>
        <v>Increase</v>
      </c>
      <c r="J566" s="58"/>
      <c r="K566" s="59" t="str">
        <f>IF(LEN(J566)&gt;0,IF(OR(ISLOGICAL(J566),J566="TRUE"),"Yes",""),"")</f>
      </c>
      <c r="L566" s="59"/>
      <c r="M566" s="59"/>
      <c r="N566" s="62" t="str">
        <f>IF(LEN(M566)&gt;0,IF(OR(ISLOGICAL(M566),M566="TRUE"),"Yes",""),"")</f>
      </c>
      <c r="O566" s="59"/>
      <c r="P566" s="62" t="str">
        <f>IF(LEN(O566)&gt;0,IF(OR(ISLOGICAL(O566),O566="TRUE"),"Yes",""),"")</f>
      </c>
      <c r="Q566" s="62" t="s">
        <v>98</v>
      </c>
      <c r="R566" s="63"/>
    </row>
    <row r="567" spans="1:18" s="47" customFormat="1" ht="51">
      <c r="A567" s="63" t="s">
        <v>1208</v>
      </c>
      <c r="B567" s="63" t="s">
        <v>96</v>
      </c>
      <c r="C567" s="63" t="s">
        <v>1209</v>
      </c>
      <c r="D567" s="61"/>
      <c r="E567" s="45">
        <v>0.355</v>
      </c>
      <c r="F567" s="45">
        <v>0.355</v>
      </c>
      <c r="G567" s="66">
        <v>46092</v>
      </c>
      <c r="H567" s="45" t="str">
        <f>IF(ISNUMBER(E567),F567-E567,"N/A")</f>
        <v>N/A</v>
      </c>
      <c r="I567" s="46" t="str">
        <f>IF(E567&lt;&gt;"",IF(F567=E567,"No Change",IF(F567&gt;E567,"Increase","Decrease")),"New")</f>
        <v>Increase</v>
      </c>
      <c r="J567" s="58"/>
      <c r="K567" s="59" t="str">
        <f>IF(LEN(J567)&gt;0,IF(OR(ISLOGICAL(J567),J567="TRUE"),"Yes",""),"")</f>
      </c>
      <c r="L567" s="59"/>
      <c r="M567" s="59"/>
      <c r="N567" s="62" t="str">
        <f>IF(LEN(M567)&gt;0,IF(OR(ISLOGICAL(M567),M567="TRUE"),"Yes",""),"")</f>
      </c>
      <c r="O567" s="59"/>
      <c r="P567" s="62" t="str">
        <f>IF(LEN(O567)&gt;0,IF(OR(ISLOGICAL(O567),O567="TRUE"),"Yes",""),"")</f>
      </c>
      <c r="Q567" s="62" t="s">
        <v>109</v>
      </c>
      <c r="R567" s="63"/>
    </row>
    <row r="568" spans="1:18" s="47" customFormat="1" ht="51">
      <c r="A568" s="63" t="s">
        <v>1210</v>
      </c>
      <c r="B568" s="63" t="s">
        <v>96</v>
      </c>
      <c r="C568" s="63" t="s">
        <v>1211</v>
      </c>
      <c r="D568" s="61"/>
      <c r="E568" s="45">
        <v>0.29</v>
      </c>
      <c r="F568" s="45">
        <v>0.29</v>
      </c>
      <c r="G568" s="66">
        <v>46082</v>
      </c>
      <c r="H568" s="45" t="str">
        <f>IF(ISNUMBER(E568),F568-E568,"N/A")</f>
        <v>N/A</v>
      </c>
      <c r="I568" s="46" t="str">
        <f>IF(E568&lt;&gt;"",IF(F568=E568,"No Change",IF(F568&gt;E568,"Increase","Decrease")),"New")</f>
        <v>Increase</v>
      </c>
      <c r="J568" s="58" t="s">
        <v>122</v>
      </c>
      <c r="K568" s="59" t="str">
        <f>IF(LEN(J568)&gt;0,IF(OR(ISLOGICAL(J568),J568="TRUE"),"Yes",""),"")</f>
      </c>
      <c r="L568" s="59"/>
      <c r="M568" s="59"/>
      <c r="N568" s="62" t="str">
        <f>IF(LEN(M568)&gt;0,IF(OR(ISLOGICAL(M568),M568="TRUE"),"Yes",""),"")</f>
      </c>
      <c r="O568" s="59"/>
      <c r="P568" s="62" t="str">
        <f>IF(LEN(O568)&gt;0,IF(OR(ISLOGICAL(O568),O568="TRUE"),"Yes",""),"")</f>
      </c>
      <c r="Q568" s="62" t="s">
        <v>98</v>
      </c>
      <c r="R568" s="63"/>
    </row>
    <row r="569" spans="1:18" s="47" customFormat="1" ht="51">
      <c r="A569" s="63" t="s">
        <v>1212</v>
      </c>
      <c r="B569" s="63" t="s">
        <v>96</v>
      </c>
      <c r="C569" s="63" t="s">
        <v>1213</v>
      </c>
      <c r="D569" s="61"/>
      <c r="E569" s="45">
        <v>0.3475</v>
      </c>
      <c r="F569" s="45">
        <v>0.3475</v>
      </c>
      <c r="G569" s="66">
        <v>46008</v>
      </c>
      <c r="H569" s="45" t="str">
        <f>IF(ISNUMBER(E569),F569-E569,"N/A")</f>
        <v>N/A</v>
      </c>
      <c r="I569" s="46" t="str">
        <f>IF(E569&lt;&gt;"",IF(F569=E569,"No Change",IF(F569&gt;E569,"Increase","Decrease")),"New")</f>
        <v>Increase</v>
      </c>
      <c r="J569" s="58" t="s">
        <v>122</v>
      </c>
      <c r="K569" s="59" t="str">
        <f>IF(LEN(J569)&gt;0,IF(OR(ISLOGICAL(J569),J569="TRUE"),"Yes",""),"")</f>
      </c>
      <c r="L569" s="59"/>
      <c r="M569" s="59"/>
      <c r="N569" s="62" t="str">
        <f>IF(LEN(M569)&gt;0,IF(OR(ISLOGICAL(M569),M569="TRUE"),"Yes",""),"")</f>
      </c>
      <c r="O569" s="59"/>
      <c r="P569" s="62" t="str">
        <f>IF(LEN(O569)&gt;0,IF(OR(ISLOGICAL(O569),O569="TRUE"),"Yes",""),"")</f>
      </c>
      <c r="Q569" s="62" t="s">
        <v>109</v>
      </c>
      <c r="R569" s="63"/>
    </row>
    <row r="570" spans="1:18" s="47" customFormat="1" ht="51">
      <c r="A570" s="63" t="s">
        <v>1214</v>
      </c>
      <c r="B570" s="63" t="s">
        <v>96</v>
      </c>
      <c r="C570" s="63" t="s">
        <v>1215</v>
      </c>
      <c r="D570" s="61"/>
      <c r="E570" s="45">
        <v>0.29</v>
      </c>
      <c r="F570" s="45">
        <v>0.289</v>
      </c>
      <c r="G570" s="66">
        <v>46141</v>
      </c>
      <c r="H570" s="45" t="str">
        <f>IF(ISNUMBER(E570),F570-E570,"N/A")</f>
        <v>N/A</v>
      </c>
      <c r="I570" s="46" t="str">
        <f>IF(E570&lt;&gt;"",IF(F570=E570,"No Change",IF(F570&gt;E570,"Increase","Decrease")),"New")</f>
        <v>Increase</v>
      </c>
      <c r="J570" s="58" t="s">
        <v>122</v>
      </c>
      <c r="K570" s="59" t="str">
        <f>IF(LEN(J570)&gt;0,IF(OR(ISLOGICAL(J570),J570="TRUE"),"Yes",""),"")</f>
      </c>
      <c r="L570" s="59"/>
      <c r="M570" s="59"/>
      <c r="N570" s="62" t="str">
        <f>IF(LEN(M570)&gt;0,IF(OR(ISLOGICAL(M570),M570="TRUE"),"Yes",""),"")</f>
      </c>
      <c r="O570" s="59"/>
      <c r="P570" s="62" t="str">
        <f>IF(LEN(O570)&gt;0,IF(OR(ISLOGICAL(O570),O570="TRUE"),"Yes",""),"")</f>
      </c>
      <c r="Q570" s="62" t="s">
        <v>98</v>
      </c>
      <c r="R570" s="63"/>
    </row>
    <row r="571" spans="1:18" s="47" customFormat="1" ht="51">
      <c r="A571" s="63" t="s">
        <v>1216</v>
      </c>
      <c r="B571" s="63" t="s">
        <v>96</v>
      </c>
      <c r="C571" s="63" t="s">
        <v>1217</v>
      </c>
      <c r="D571" s="61"/>
      <c r="E571" s="45">
        <v>0.29</v>
      </c>
      <c r="F571" s="45">
        <v>0.29</v>
      </c>
      <c r="G571" s="66">
        <v>46082</v>
      </c>
      <c r="H571" s="45" t="str">
        <f>IF(ISNUMBER(E571),F571-E571,"N/A")</f>
        <v>N/A</v>
      </c>
      <c r="I571" s="46" t="str">
        <f>IF(E571&lt;&gt;"",IF(F571=E571,"No Change",IF(F571&gt;E571,"Increase","Decrease")),"New")</f>
        <v>Increase</v>
      </c>
      <c r="J571" s="58"/>
      <c r="K571" s="59" t="str">
        <f>IF(LEN(J571)&gt;0,IF(OR(ISLOGICAL(J571),J571="TRUE"),"Yes",""),"")</f>
      </c>
      <c r="L571" s="59"/>
      <c r="M571" s="59"/>
      <c r="N571" s="62" t="str">
        <f>IF(LEN(M571)&gt;0,IF(OR(ISLOGICAL(M571),M571="TRUE"),"Yes",""),"")</f>
      </c>
      <c r="O571" s="59"/>
      <c r="P571" s="62" t="str">
        <f>IF(LEN(O571)&gt;0,IF(OR(ISLOGICAL(O571),O571="TRUE"),"Yes",""),"")</f>
      </c>
      <c r="Q571" s="62" t="s">
        <v>98</v>
      </c>
      <c r="R571" s="63"/>
    </row>
    <row r="572" spans="1:18" s="47" customFormat="1" ht="51">
      <c r="A572" s="63" t="s">
        <v>1218</v>
      </c>
      <c r="B572" s="63" t="s">
        <v>96</v>
      </c>
      <c r="C572" s="63" t="s">
        <v>1219</v>
      </c>
      <c r="D572" s="61"/>
      <c r="E572" s="45">
        <v>0.249</v>
      </c>
      <c r="F572" s="45">
        <v>0.249</v>
      </c>
      <c r="G572" s="66">
        <v>46078</v>
      </c>
      <c r="H572" s="45" t="str">
        <f>IF(ISNUMBER(E572),F572-E572,"N/A")</f>
        <v>N/A</v>
      </c>
      <c r="I572" s="46" t="str">
        <f>IF(E572&lt;&gt;"",IF(F572=E572,"No Change",IF(F572&gt;E572,"Increase","Decrease")),"New")</f>
        <v>Increase</v>
      </c>
      <c r="J572" s="58"/>
      <c r="K572" s="59" t="str">
        <f>IF(LEN(J572)&gt;0,IF(OR(ISLOGICAL(J572),J572="TRUE"),"Yes",""),"")</f>
      </c>
      <c r="L572" s="59"/>
      <c r="M572" s="59"/>
      <c r="N572" s="62" t="str">
        <f>IF(LEN(M572)&gt;0,IF(OR(ISLOGICAL(M572),M572="TRUE"),"Yes",""),"")</f>
      </c>
      <c r="O572" s="59"/>
      <c r="P572" s="62" t="str">
        <f>IF(LEN(O572)&gt;0,IF(OR(ISLOGICAL(O572),O572="TRUE"),"Yes",""),"")</f>
      </c>
      <c r="Q572" s="62" t="s">
        <v>98</v>
      </c>
      <c r="R572" s="63"/>
    </row>
    <row r="573" spans="1:18" s="47" customFormat="1" ht="51">
      <c r="A573" s="63" t="s">
        <v>1220</v>
      </c>
      <c r="B573" s="63" t="s">
        <v>96</v>
      </c>
      <c r="C573" s="63" t="s">
        <v>1221</v>
      </c>
      <c r="D573" s="61"/>
      <c r="E573" s="45">
        <v>0.249</v>
      </c>
      <c r="F573" s="45">
        <v>0.249</v>
      </c>
      <c r="G573" s="66">
        <v>46082</v>
      </c>
      <c r="H573" s="45" t="str">
        <f>IF(ISNUMBER(E573),F573-E573,"N/A")</f>
        <v>N/A</v>
      </c>
      <c r="I573" s="46" t="str">
        <f>IF(E573&lt;&gt;"",IF(F573=E573,"No Change",IF(F573&gt;E573,"Increase","Decrease")),"New")</f>
        <v>Increase</v>
      </c>
      <c r="J573" s="58"/>
      <c r="K573" s="59" t="str">
        <f>IF(LEN(J573)&gt;0,IF(OR(ISLOGICAL(J573),J573="TRUE"),"Yes",""),"")</f>
      </c>
      <c r="L573" s="59"/>
      <c r="M573" s="59"/>
      <c r="N573" s="62" t="str">
        <f>IF(LEN(M573)&gt;0,IF(OR(ISLOGICAL(M573),M573="TRUE"),"Yes",""),"")</f>
      </c>
      <c r="O573" s="59"/>
      <c r="P573" s="62" t="str">
        <f>IF(LEN(O573)&gt;0,IF(OR(ISLOGICAL(O573),O573="TRUE"),"Yes",""),"")</f>
      </c>
      <c r="Q573" s="62" t="s">
        <v>98</v>
      </c>
      <c r="R573" s="63"/>
    </row>
    <row r="574" spans="1:18" s="47" customFormat="1" ht="51">
      <c r="A574" s="63" t="s">
        <v>1222</v>
      </c>
      <c r="B574" s="63" t="s">
        <v>96</v>
      </c>
      <c r="C574" s="63" t="s">
        <v>1223</v>
      </c>
      <c r="D574" s="61"/>
      <c r="E574" s="45">
        <v>0.249</v>
      </c>
      <c r="F574" s="45">
        <v>0.249</v>
      </c>
      <c r="G574" s="66">
        <v>46078</v>
      </c>
      <c r="H574" s="45" t="str">
        <f>IF(ISNUMBER(E574),F574-E574,"N/A")</f>
        <v>N/A</v>
      </c>
      <c r="I574" s="46" t="str">
        <f>IF(E574&lt;&gt;"",IF(F574=E574,"No Change",IF(F574&gt;E574,"Increase","Decrease")),"New")</f>
        <v>Increase</v>
      </c>
      <c r="J574" s="58"/>
      <c r="K574" s="59" t="str">
        <f>IF(LEN(J574)&gt;0,IF(OR(ISLOGICAL(J574),J574="TRUE"),"Yes",""),"")</f>
      </c>
      <c r="L574" s="59"/>
      <c r="M574" s="59"/>
      <c r="N574" s="62" t="str">
        <f>IF(LEN(M574)&gt;0,IF(OR(ISLOGICAL(M574),M574="TRUE"),"Yes",""),"")</f>
      </c>
      <c r="O574" s="59"/>
      <c r="P574" s="62" t="str">
        <f>IF(LEN(O574)&gt;0,IF(OR(ISLOGICAL(O574),O574="TRUE"),"Yes",""),"")</f>
      </c>
      <c r="Q574" s="62" t="s">
        <v>98</v>
      </c>
      <c r="R574" s="63"/>
    </row>
    <row r="575" spans="1:18" s="47" customFormat="1" ht="51">
      <c r="A575" s="63" t="s">
        <v>1224</v>
      </c>
      <c r="B575" s="63" t="s">
        <v>96</v>
      </c>
      <c r="C575" s="63" t="s">
        <v>1225</v>
      </c>
      <c r="D575" s="61"/>
      <c r="E575" s="45">
        <v>0.197</v>
      </c>
      <c r="F575" s="45">
        <v>0.197</v>
      </c>
      <c r="G575" s="66">
        <v>46078</v>
      </c>
      <c r="H575" s="45" t="str">
        <f>IF(ISNUMBER(E575),F575-E575,"N/A")</f>
        <v>N/A</v>
      </c>
      <c r="I575" s="46" t="str">
        <f>IF(E575&lt;&gt;"",IF(F575=E575,"No Change",IF(F575&gt;E575,"Increase","Decrease")),"New")</f>
        <v>Increase</v>
      </c>
      <c r="J575" s="58"/>
      <c r="K575" s="59" t="str">
        <f>IF(LEN(J575)&gt;0,IF(OR(ISLOGICAL(J575),J575="TRUE"),"Yes",""),"")</f>
      </c>
      <c r="L575" s="59"/>
      <c r="M575" s="59"/>
      <c r="N575" s="62" t="str">
        <f>IF(LEN(M575)&gt;0,IF(OR(ISLOGICAL(M575),M575="TRUE"),"Yes",""),"")</f>
      </c>
      <c r="O575" s="59"/>
      <c r="P575" s="62" t="str">
        <f>IF(LEN(O575)&gt;0,IF(OR(ISLOGICAL(O575),O575="TRUE"),"Yes",""),"")</f>
      </c>
      <c r="Q575" s="62" t="s">
        <v>98</v>
      </c>
      <c r="R575" s="63"/>
    </row>
    <row r="576" spans="1:18" s="47" customFormat="1" ht="51">
      <c r="A576" s="63" t="s">
        <v>1226</v>
      </c>
      <c r="B576" s="63" t="s">
        <v>96</v>
      </c>
      <c r="C576" s="63" t="s">
        <v>1227</v>
      </c>
      <c r="D576" s="61"/>
      <c r="E576" s="45">
        <v>0.197</v>
      </c>
      <c r="F576" s="45">
        <v>0.197</v>
      </c>
      <c r="G576" s="66">
        <v>46078</v>
      </c>
      <c r="H576" s="45" t="str">
        <f>IF(ISNUMBER(E576),F576-E576,"N/A")</f>
        <v>N/A</v>
      </c>
      <c r="I576" s="46" t="str">
        <f>IF(E576&lt;&gt;"",IF(F576=E576,"No Change",IF(F576&gt;E576,"Increase","Decrease")),"New")</f>
        <v>Increase</v>
      </c>
      <c r="J576" s="58" t="s">
        <v>122</v>
      </c>
      <c r="K576" s="59" t="str">
        <f>IF(LEN(J576)&gt;0,IF(OR(ISLOGICAL(J576),J576="TRUE"),"Yes",""),"")</f>
      </c>
      <c r="L576" s="59"/>
      <c r="M576" s="59"/>
      <c r="N576" s="62" t="str">
        <f>IF(LEN(M576)&gt;0,IF(OR(ISLOGICAL(M576),M576="TRUE"),"Yes",""),"")</f>
      </c>
      <c r="O576" s="59"/>
      <c r="P576" s="62" t="str">
        <f>IF(LEN(O576)&gt;0,IF(OR(ISLOGICAL(O576),O576="TRUE"),"Yes",""),"")</f>
      </c>
      <c r="Q576" s="62" t="s">
        <v>98</v>
      </c>
      <c r="R576" s="63"/>
    </row>
    <row r="577" spans="1:18" s="47" customFormat="1" ht="51">
      <c r="A577" s="63" t="s">
        <v>1228</v>
      </c>
      <c r="B577" s="63" t="s">
        <v>96</v>
      </c>
      <c r="C577" s="63" t="s">
        <v>1229</v>
      </c>
      <c r="D577" s="61"/>
      <c r="E577" s="45">
        <v>0.197</v>
      </c>
      <c r="F577" s="45">
        <v>0.197</v>
      </c>
      <c r="G577" s="66">
        <v>46078</v>
      </c>
      <c r="H577" s="45" t="str">
        <f>IF(ISNUMBER(E577),F577-E577,"N/A")</f>
        <v>N/A</v>
      </c>
      <c r="I577" s="46" t="str">
        <f>IF(E577&lt;&gt;"",IF(F577=E577,"No Change",IF(F577&gt;E577,"Increase","Decrease")),"New")</f>
        <v>Increase</v>
      </c>
      <c r="J577" s="58" t="s">
        <v>122</v>
      </c>
      <c r="K577" s="59" t="str">
        <f>IF(LEN(J577)&gt;0,IF(OR(ISLOGICAL(J577),J577="TRUE"),"Yes",""),"")</f>
      </c>
      <c r="L577" s="59"/>
      <c r="M577" s="59"/>
      <c r="N577" s="62" t="str">
        <f>IF(LEN(M577)&gt;0,IF(OR(ISLOGICAL(M577),M577="TRUE"),"Yes",""),"")</f>
      </c>
      <c r="O577" s="59"/>
      <c r="P577" s="62" t="str">
        <f>IF(LEN(O577)&gt;0,IF(OR(ISLOGICAL(O577),O577="TRUE"),"Yes",""),"")</f>
      </c>
      <c r="Q577" s="62" t="s">
        <v>98</v>
      </c>
      <c r="R577" s="63"/>
    </row>
    <row r="578" spans="1:18" s="47" customFormat="1" ht="51">
      <c r="A578" s="63" t="s">
        <v>1230</v>
      </c>
      <c r="B578" s="63" t="s">
        <v>96</v>
      </c>
      <c r="C578" s="63" t="s">
        <v>1231</v>
      </c>
      <c r="D578" s="61"/>
      <c r="E578" s="45">
        <v>0.0096</v>
      </c>
      <c r="F578" s="45">
        <v>0.009</v>
      </c>
      <c r="G578" s="66">
        <v>46141</v>
      </c>
      <c r="H578" s="45" t="str">
        <f>IF(ISNUMBER(E578),F578-E578,"N/A")</f>
        <v>N/A</v>
      </c>
      <c r="I578" s="46" t="str">
        <f>IF(E578&lt;&gt;"",IF(F578=E578,"No Change",IF(F578&gt;E578,"Increase","Decrease")),"New")</f>
        <v>Increase</v>
      </c>
      <c r="J578" s="58"/>
      <c r="K578" s="59" t="str">
        <f>IF(LEN(J578)&gt;0,IF(OR(ISLOGICAL(J578),J578="TRUE"),"Yes",""),"")</f>
      </c>
      <c r="L578" s="59"/>
      <c r="M578" s="59"/>
      <c r="N578" s="62" t="str">
        <f>IF(LEN(M578)&gt;0,IF(OR(ISLOGICAL(M578),M578="TRUE"),"Yes",""),"")</f>
      </c>
      <c r="O578" s="59"/>
      <c r="P578" s="62" t="str">
        <f>IF(LEN(O578)&gt;0,IF(OR(ISLOGICAL(O578),O578="TRUE"),"Yes",""),"")</f>
      </c>
      <c r="Q578" s="62" t="s">
        <v>98</v>
      </c>
      <c r="R578" s="63"/>
    </row>
    <row r="579" spans="1:18" s="47" customFormat="1" ht="51">
      <c r="A579" s="63" t="s">
        <v>1232</v>
      </c>
      <c r="B579" s="63" t="s">
        <v>96</v>
      </c>
      <c r="C579" s="63" t="s">
        <v>1233</v>
      </c>
      <c r="D579" s="61"/>
      <c r="E579" s="45">
        <v>0.017</v>
      </c>
      <c r="F579" s="45">
        <v>0.017</v>
      </c>
      <c r="G579" s="66">
        <v>45717</v>
      </c>
      <c r="H579" s="45" t="str">
        <f>IF(ISNUMBER(E579),F579-E579,"N/A")</f>
        <v>N/A</v>
      </c>
      <c r="I579" s="46" t="str">
        <f>IF(E579&lt;&gt;"",IF(F579=E579,"No Change",IF(F579&gt;E579,"Increase","Decrease")),"New")</f>
        <v>Increase</v>
      </c>
      <c r="J579" s="58"/>
      <c r="K579" s="59" t="str">
        <f>IF(LEN(J579)&gt;0,IF(OR(ISLOGICAL(J579),J579="TRUE"),"Yes",""),"")</f>
      </c>
      <c r="L579" s="59"/>
      <c r="M579" s="59"/>
      <c r="N579" s="62" t="str">
        <f>IF(LEN(M579)&gt;0,IF(OR(ISLOGICAL(M579),M579="TRUE"),"Yes",""),"")</f>
      </c>
      <c r="O579" s="59"/>
      <c r="P579" s="62" t="str">
        <f>IF(LEN(O579)&gt;0,IF(OR(ISLOGICAL(O579),O579="TRUE"),"Yes",""),"")</f>
      </c>
      <c r="Q579" s="62" t="s">
        <v>98</v>
      </c>
      <c r="R579" s="63"/>
    </row>
    <row r="580" spans="1:18" s="47" customFormat="1" ht="51">
      <c r="A580" s="63" t="s">
        <v>1234</v>
      </c>
      <c r="B580" s="63" t="s">
        <v>96</v>
      </c>
      <c r="C580" s="63" t="s">
        <v>1235</v>
      </c>
      <c r="D580" s="61"/>
      <c r="E580" s="45">
        <v>0.024</v>
      </c>
      <c r="F580" s="45">
        <v>0.024</v>
      </c>
      <c r="G580" s="66">
        <v>46029</v>
      </c>
      <c r="H580" s="45" t="str">
        <f>IF(ISNUMBER(E580),F580-E580,"N/A")</f>
        <v>N/A</v>
      </c>
      <c r="I580" s="46" t="str">
        <f>IF(E580&lt;&gt;"",IF(F580=E580,"No Change",IF(F580&gt;E580,"Increase","Decrease")),"New")</f>
        <v>Increase</v>
      </c>
      <c r="J580" s="58"/>
      <c r="K580" s="59" t="str">
        <f>IF(LEN(J580)&gt;0,IF(OR(ISLOGICAL(J580),J580="TRUE"),"Yes",""),"")</f>
      </c>
      <c r="L580" s="59"/>
      <c r="M580" s="59"/>
      <c r="N580" s="62" t="str">
        <f>IF(LEN(M580)&gt;0,IF(OR(ISLOGICAL(M580),M580="TRUE"),"Yes",""),"")</f>
      </c>
      <c r="O580" s="59"/>
      <c r="P580" s="62" t="str">
        <f>IF(LEN(O580)&gt;0,IF(OR(ISLOGICAL(O580),O580="TRUE"),"Yes",""),"")</f>
      </c>
      <c r="Q580" s="62" t="s">
        <v>98</v>
      </c>
      <c r="R580" s="63"/>
    </row>
    <row r="581" spans="1:18" s="47" customFormat="1" ht="51">
      <c r="A581" s="63" t="s">
        <v>1236</v>
      </c>
      <c r="B581" s="63" t="s">
        <v>96</v>
      </c>
      <c r="C581" s="63" t="s">
        <v>1237</v>
      </c>
      <c r="D581" s="61"/>
      <c r="E581" s="45">
        <v>0.023</v>
      </c>
      <c r="F581" s="45">
        <v>0.023</v>
      </c>
      <c r="G581" s="66">
        <v>45966</v>
      </c>
      <c r="H581" s="45" t="str">
        <f>IF(ISNUMBER(E581),F581-E581,"N/A")</f>
        <v>N/A</v>
      </c>
      <c r="I581" s="46" t="str">
        <f>IF(E581&lt;&gt;"",IF(F581=E581,"No Change",IF(F581&gt;E581,"Increase","Decrease")),"New")</f>
        <v>Increase</v>
      </c>
      <c r="J581" s="58" t="s">
        <v>122</v>
      </c>
      <c r="K581" s="59" t="str">
        <f>IF(LEN(J581)&gt;0,IF(OR(ISLOGICAL(J581),J581="TRUE"),"Yes",""),"")</f>
      </c>
      <c r="L581" s="59"/>
      <c r="M581" s="59"/>
      <c r="N581" s="62" t="str">
        <f>IF(LEN(M581)&gt;0,IF(OR(ISLOGICAL(M581),M581="TRUE"),"Yes",""),"")</f>
      </c>
      <c r="O581" s="59"/>
      <c r="P581" s="62" t="str">
        <f>IF(LEN(O581)&gt;0,IF(OR(ISLOGICAL(O581),O581="TRUE"),"Yes",""),"")</f>
      </c>
      <c r="Q581" s="62" t="s">
        <v>98</v>
      </c>
      <c r="R581" s="63"/>
    </row>
    <row r="582" spans="1:18" s="47" customFormat="1" ht="51">
      <c r="A582" s="63" t="s">
        <v>1238</v>
      </c>
      <c r="B582" s="63" t="s">
        <v>96</v>
      </c>
      <c r="C582" s="63" t="s">
        <v>1239</v>
      </c>
      <c r="D582" s="61"/>
      <c r="E582" s="45">
        <v>0.1248</v>
      </c>
      <c r="F582" s="45">
        <v>0.1248</v>
      </c>
      <c r="G582" s="66">
        <v>46078</v>
      </c>
      <c r="H582" s="45" t="str">
        <f>IF(ISNUMBER(E582),F582-E582,"N/A")</f>
        <v>N/A</v>
      </c>
      <c r="I582" s="46" t="str">
        <f>IF(E582&lt;&gt;"",IF(F582=E582,"No Change",IF(F582&gt;E582,"Increase","Decrease")),"New")</f>
        <v>Increase</v>
      </c>
      <c r="J582" s="58"/>
      <c r="K582" s="59" t="str">
        <f>IF(LEN(J582)&gt;0,IF(OR(ISLOGICAL(J582),J582="TRUE"),"Yes",""),"")</f>
      </c>
      <c r="L582" s="59"/>
      <c r="M582" s="59"/>
      <c r="N582" s="62" t="str">
        <f>IF(LEN(M582)&gt;0,IF(OR(ISLOGICAL(M582),M582="TRUE"),"Yes",""),"")</f>
      </c>
      <c r="O582" s="59"/>
      <c r="P582" s="62" t="str">
        <f>IF(LEN(O582)&gt;0,IF(OR(ISLOGICAL(O582),O582="TRUE"),"Yes",""),"")</f>
      </c>
      <c r="Q582" s="62" t="s">
        <v>98</v>
      </c>
      <c r="R582" s="63"/>
    </row>
    <row r="583" spans="1:18" s="47" customFormat="1" ht="51">
      <c r="A583" s="63" t="s">
        <v>1240</v>
      </c>
      <c r="B583" s="63" t="s">
        <v>96</v>
      </c>
      <c r="C583" s="63" t="s">
        <v>1241</v>
      </c>
      <c r="D583" s="61"/>
      <c r="E583" s="45">
        <v>0.1248</v>
      </c>
      <c r="F583" s="45">
        <v>0.1248</v>
      </c>
      <c r="G583" s="66">
        <v>46082</v>
      </c>
      <c r="H583" s="45" t="str">
        <f>IF(ISNUMBER(E583),F583-E583,"N/A")</f>
        <v>N/A</v>
      </c>
      <c r="I583" s="46" t="str">
        <f>IF(E583&lt;&gt;"",IF(F583=E583,"No Change",IF(F583&gt;E583,"Increase","Decrease")),"New")</f>
        <v>Increase</v>
      </c>
      <c r="J583" s="58"/>
      <c r="K583" s="59" t="str">
        <f>IF(LEN(J583)&gt;0,IF(OR(ISLOGICAL(J583),J583="TRUE"),"Yes",""),"")</f>
      </c>
      <c r="L583" s="59"/>
      <c r="M583" s="59"/>
      <c r="N583" s="62" t="str">
        <f>IF(LEN(M583)&gt;0,IF(OR(ISLOGICAL(M583),M583="TRUE"),"Yes",""),"")</f>
      </c>
      <c r="O583" s="59"/>
      <c r="P583" s="62" t="str">
        <f>IF(LEN(O583)&gt;0,IF(OR(ISLOGICAL(O583),O583="TRUE"),"Yes",""),"")</f>
      </c>
      <c r="Q583" s="62" t="s">
        <v>98</v>
      </c>
      <c r="R583" s="63"/>
    </row>
    <row r="584" spans="1:18" s="47" customFormat="1" ht="51">
      <c r="A584" s="63" t="s">
        <v>1242</v>
      </c>
      <c r="B584" s="63" t="s">
        <v>96</v>
      </c>
      <c r="C584" s="63" t="s">
        <v>1243</v>
      </c>
      <c r="D584" s="61"/>
      <c r="E584" s="45">
        <v>0.125</v>
      </c>
      <c r="F584" s="45">
        <v>0.125</v>
      </c>
      <c r="G584" s="66">
        <v>45980</v>
      </c>
      <c r="H584" s="45" t="str">
        <f>IF(ISNUMBER(E584),F584-E584,"N/A")</f>
        <v>N/A</v>
      </c>
      <c r="I584" s="46" t="str">
        <f>IF(E584&lt;&gt;"",IF(F584=E584,"No Change",IF(F584&gt;E584,"Increase","Decrease")),"New")</f>
        <v>Increase</v>
      </c>
      <c r="J584" s="58" t="s">
        <v>122</v>
      </c>
      <c r="K584" s="59" t="str">
        <f>IF(LEN(J584)&gt;0,IF(OR(ISLOGICAL(J584),J584="TRUE"),"Yes",""),"")</f>
      </c>
      <c r="L584" s="59"/>
      <c r="M584" s="59"/>
      <c r="N584" s="62" t="str">
        <f>IF(LEN(M584)&gt;0,IF(OR(ISLOGICAL(M584),M584="TRUE"),"Yes",""),"")</f>
      </c>
      <c r="O584" s="59"/>
      <c r="P584" s="62" t="str">
        <f>IF(LEN(O584)&gt;0,IF(OR(ISLOGICAL(O584),O584="TRUE"),"Yes",""),"")</f>
      </c>
      <c r="Q584" s="62" t="s">
        <v>98</v>
      </c>
      <c r="R584" s="63"/>
    </row>
    <row r="585" spans="1:18" s="47" customFormat="1" ht="51">
      <c r="A585" s="63" t="s">
        <v>1244</v>
      </c>
      <c r="B585" s="63" t="s">
        <v>96</v>
      </c>
      <c r="C585" s="63" t="s">
        <v>1245</v>
      </c>
      <c r="D585" s="61"/>
      <c r="E585" s="45">
        <v>0.125</v>
      </c>
      <c r="F585" s="45">
        <v>0.125</v>
      </c>
      <c r="G585" s="66">
        <v>46099</v>
      </c>
      <c r="H585" s="45" t="str">
        <f>IF(ISNUMBER(E585),F585-E585,"N/A")</f>
        <v>N/A</v>
      </c>
      <c r="I585" s="46" t="str">
        <f>IF(E585&lt;&gt;"",IF(F585=E585,"No Change",IF(F585&gt;E585,"Increase","Decrease")),"New")</f>
        <v>Increase</v>
      </c>
      <c r="J585" s="58" t="s">
        <v>122</v>
      </c>
      <c r="K585" s="59" t="str">
        <f>IF(LEN(J585)&gt;0,IF(OR(ISLOGICAL(J585),J585="TRUE"),"Yes",""),"")</f>
      </c>
      <c r="L585" s="59"/>
      <c r="M585" s="59"/>
      <c r="N585" s="62" t="str">
        <f>IF(LEN(M585)&gt;0,IF(OR(ISLOGICAL(M585),M585="TRUE"),"Yes",""),"")</f>
      </c>
      <c r="O585" s="59"/>
      <c r="P585" s="62" t="str">
        <f>IF(LEN(O585)&gt;0,IF(OR(ISLOGICAL(O585),O585="TRUE"),"Yes",""),"")</f>
      </c>
      <c r="Q585" s="62" t="s">
        <v>98</v>
      </c>
      <c r="R585" s="63"/>
    </row>
    <row r="586" spans="1:18" s="47" customFormat="1" ht="51">
      <c r="A586" s="63" t="s">
        <v>1246</v>
      </c>
      <c r="B586" s="63" t="s">
        <v>96</v>
      </c>
      <c r="C586" s="63" t="s">
        <v>1247</v>
      </c>
      <c r="D586" s="61"/>
      <c r="E586" s="45">
        <v>0.125</v>
      </c>
      <c r="F586" s="45">
        <v>0.125</v>
      </c>
      <c r="G586" s="66">
        <v>46099</v>
      </c>
      <c r="H586" s="45" t="str">
        <f>IF(ISNUMBER(E586),F586-E586,"N/A")</f>
        <v>N/A</v>
      </c>
      <c r="I586" s="46" t="str">
        <f>IF(E586&lt;&gt;"",IF(F586=E586,"No Change",IF(F586&gt;E586,"Increase","Decrease")),"New")</f>
        <v>Increase</v>
      </c>
      <c r="J586" s="58" t="s">
        <v>122</v>
      </c>
      <c r="K586" s="59" t="str">
        <f>IF(LEN(J586)&gt;0,IF(OR(ISLOGICAL(J586),J586="TRUE"),"Yes",""),"")</f>
      </c>
      <c r="L586" s="59"/>
      <c r="M586" s="59"/>
      <c r="N586" s="62" t="str">
        <f>IF(LEN(M586)&gt;0,IF(OR(ISLOGICAL(M586),M586="TRUE"),"Yes",""),"")</f>
      </c>
      <c r="O586" s="59"/>
      <c r="P586" s="62" t="str">
        <f>IF(LEN(O586)&gt;0,IF(OR(ISLOGICAL(O586),O586="TRUE"),"Yes",""),"")</f>
      </c>
      <c r="Q586" s="62" t="s">
        <v>98</v>
      </c>
      <c r="R586" s="63"/>
    </row>
    <row r="587" spans="1:18" s="47" customFormat="1" ht="51">
      <c r="A587" s="63" t="s">
        <v>1248</v>
      </c>
      <c r="B587" s="63" t="s">
        <v>96</v>
      </c>
      <c r="C587" s="63" t="s">
        <v>1249</v>
      </c>
      <c r="D587" s="61"/>
      <c r="E587" s="45">
        <v>0.125</v>
      </c>
      <c r="F587" s="45">
        <v>0.125</v>
      </c>
      <c r="G587" s="66">
        <v>46099</v>
      </c>
      <c r="H587" s="45" t="str">
        <f>IF(ISNUMBER(E587),F587-E587,"N/A")</f>
        <v>N/A</v>
      </c>
      <c r="I587" s="46" t="str">
        <f>IF(E587&lt;&gt;"",IF(F587=E587,"No Change",IF(F587&gt;E587,"Increase","Decrease")),"New")</f>
        <v>Increase</v>
      </c>
      <c r="J587" s="58" t="s">
        <v>122</v>
      </c>
      <c r="K587" s="59" t="str">
        <f>IF(LEN(J587)&gt;0,IF(OR(ISLOGICAL(J587),J587="TRUE"),"Yes",""),"")</f>
      </c>
      <c r="L587" s="59"/>
      <c r="M587" s="59"/>
      <c r="N587" s="62" t="str">
        <f>IF(LEN(M587)&gt;0,IF(OR(ISLOGICAL(M587),M587="TRUE"),"Yes",""),"")</f>
      </c>
      <c r="O587" s="59"/>
      <c r="P587" s="62" t="str">
        <f>IF(LEN(O587)&gt;0,IF(OR(ISLOGICAL(O587),O587="TRUE"),"Yes",""),"")</f>
      </c>
      <c r="Q587" s="62" t="s">
        <v>98</v>
      </c>
      <c r="R587" s="63"/>
    </row>
    <row r="588" spans="1:18" s="47" customFormat="1" ht="51">
      <c r="A588" s="63" t="s">
        <v>1250</v>
      </c>
      <c r="B588" s="63" t="s">
        <v>96</v>
      </c>
      <c r="C588" s="63" t="s">
        <v>1251</v>
      </c>
      <c r="D588" s="61"/>
      <c r="E588" s="45">
        <v>0.0375</v>
      </c>
      <c r="F588" s="45">
        <v>0.0375</v>
      </c>
      <c r="G588" s="66">
        <v>46092</v>
      </c>
      <c r="H588" s="45" t="str">
        <f>IF(ISNUMBER(E588),F588-E588,"N/A")</f>
        <v>N/A</v>
      </c>
      <c r="I588" s="46" t="str">
        <f>IF(E588&lt;&gt;"",IF(F588=E588,"No Change",IF(F588&gt;E588,"Increase","Decrease")),"New")</f>
        <v>Increase</v>
      </c>
      <c r="J588" s="58"/>
      <c r="K588" s="59" t="str">
        <f>IF(LEN(J588)&gt;0,IF(OR(ISLOGICAL(J588),J588="TRUE"),"Yes",""),"")</f>
      </c>
      <c r="L588" s="59"/>
      <c r="M588" s="59"/>
      <c r="N588" s="62" t="str">
        <f>IF(LEN(M588)&gt;0,IF(OR(ISLOGICAL(M588),M588="TRUE"),"Yes",""),"")</f>
      </c>
      <c r="O588" s="59"/>
      <c r="P588" s="62" t="str">
        <f>IF(LEN(O588)&gt;0,IF(OR(ISLOGICAL(O588),O588="TRUE"),"Yes",""),"")</f>
      </c>
      <c r="Q588" s="62" t="s">
        <v>98</v>
      </c>
      <c r="R588" s="63"/>
    </row>
    <row r="589" spans="1:18" s="47" customFormat="1" ht="51">
      <c r="A589" s="63" t="s">
        <v>1252</v>
      </c>
      <c r="B589" s="63" t="s">
        <v>96</v>
      </c>
      <c r="C589" s="63" t="s">
        <v>1253</v>
      </c>
      <c r="D589" s="61"/>
      <c r="E589" s="45">
        <v>0.17</v>
      </c>
      <c r="F589" s="45">
        <v>0.17</v>
      </c>
      <c r="G589" s="66">
        <v>45812</v>
      </c>
      <c r="H589" s="45" t="str">
        <f>IF(ISNUMBER(E589),F589-E589,"N/A")</f>
        <v>N/A</v>
      </c>
      <c r="I589" s="46" t="str">
        <f>IF(E589&lt;&gt;"",IF(F589=E589,"No Change",IF(F589&gt;E589,"Increase","Decrease")),"New")</f>
        <v>Increase</v>
      </c>
      <c r="J589" s="58" t="s">
        <v>122</v>
      </c>
      <c r="K589" s="59" t="str">
        <f>IF(LEN(J589)&gt;0,IF(OR(ISLOGICAL(J589),J589="TRUE"),"Yes",""),"")</f>
      </c>
      <c r="L589" s="59"/>
      <c r="M589" s="59"/>
      <c r="N589" s="62" t="str">
        <f>IF(LEN(M589)&gt;0,IF(OR(ISLOGICAL(M589),M589="TRUE"),"Yes",""),"")</f>
      </c>
      <c r="O589" s="59"/>
      <c r="P589" s="62" t="str">
        <f>IF(LEN(O589)&gt;0,IF(OR(ISLOGICAL(O589),O589="TRUE"),"Yes",""),"")</f>
      </c>
      <c r="Q589" s="62" t="s">
        <v>98</v>
      </c>
      <c r="R589" s="63"/>
    </row>
    <row r="590" spans="1:18" s="47" customFormat="1" ht="51">
      <c r="A590" s="63" t="s">
        <v>1254</v>
      </c>
      <c r="B590" s="63" t="s">
        <v>96</v>
      </c>
      <c r="C590" s="63" t="s">
        <v>1255</v>
      </c>
      <c r="D590" s="61"/>
      <c r="E590" s="45">
        <v>0.138</v>
      </c>
      <c r="F590" s="45">
        <v>0.156</v>
      </c>
      <c r="G590" s="66">
        <v>46148</v>
      </c>
      <c r="H590" s="45" t="str">
        <f>IF(ISNUMBER(E590),F590-E590,"N/A")</f>
        <v>N/A</v>
      </c>
      <c r="I590" s="46" t="str">
        <f>IF(E590&lt;&gt;"",IF(F590=E590,"No Change",IF(F590&gt;E590,"Increase","Decrease")),"New")</f>
        <v>Increase</v>
      </c>
      <c r="J590" s="58" t="s">
        <v>122</v>
      </c>
      <c r="K590" s="59" t="str">
        <f>IF(LEN(J590)&gt;0,IF(OR(ISLOGICAL(J590),J590="TRUE"),"Yes",""),"")</f>
      </c>
      <c r="L590" s="59"/>
      <c r="M590" s="59"/>
      <c r="N590" s="62" t="str">
        <f>IF(LEN(M590)&gt;0,IF(OR(ISLOGICAL(M590),M590="TRUE"),"Yes",""),"")</f>
      </c>
      <c r="O590" s="59"/>
      <c r="P590" s="62" t="str">
        <f>IF(LEN(O590)&gt;0,IF(OR(ISLOGICAL(O590),O590="TRUE"),"Yes",""),"")</f>
      </c>
      <c r="Q590" s="62" t="s">
        <v>98</v>
      </c>
      <c r="R590" s="63"/>
    </row>
    <row r="591" spans="1:18" s="47" customFormat="1" ht="51">
      <c r="A591" s="63" t="s">
        <v>1256</v>
      </c>
      <c r="B591" s="63" t="s">
        <v>96</v>
      </c>
      <c r="C591" s="63" t="s">
        <v>1257</v>
      </c>
      <c r="D591" s="61"/>
      <c r="E591" s="45">
        <v>0.185</v>
      </c>
      <c r="F591" s="45">
        <v>0.185</v>
      </c>
      <c r="G591" s="66">
        <v>43542</v>
      </c>
      <c r="H591" s="45" t="str">
        <f>IF(ISNUMBER(E591),F591-E591,"N/A")</f>
        <v>N/A</v>
      </c>
      <c r="I591" s="46" t="str">
        <f>IF(E591&lt;&gt;"",IF(F591=E591,"No Change",IF(F591&gt;E591,"Increase","Decrease")),"New")</f>
        <v>Increase</v>
      </c>
      <c r="J591" s="58" t="s">
        <v>122</v>
      </c>
      <c r="K591" s="59" t="str">
        <f>IF(LEN(J591)&gt;0,IF(OR(ISLOGICAL(J591),J591="TRUE"),"Yes",""),"")</f>
      </c>
      <c r="L591" s="59"/>
      <c r="M591" s="59"/>
      <c r="N591" s="62" t="str">
        <f>IF(LEN(M591)&gt;0,IF(OR(ISLOGICAL(M591),M591="TRUE"),"Yes",""),"")</f>
      </c>
      <c r="O591" s="59"/>
      <c r="P591" s="62" t="str">
        <f>IF(LEN(O591)&gt;0,IF(OR(ISLOGICAL(O591),O591="TRUE"),"Yes",""),"")</f>
      </c>
      <c r="Q591" s="62" t="s">
        <v>98</v>
      </c>
      <c r="R591" s="63"/>
    </row>
    <row r="592" spans="1:18" s="47" customFormat="1" ht="51">
      <c r="A592" s="63" t="s">
        <v>1258</v>
      </c>
      <c r="B592" s="63" t="s">
        <v>96</v>
      </c>
      <c r="C592" s="63" t="s">
        <v>1259</v>
      </c>
      <c r="D592" s="61"/>
      <c r="E592" s="45">
        <v>0.151</v>
      </c>
      <c r="F592" s="45">
        <v>0.151</v>
      </c>
      <c r="G592" s="66">
        <v>46113</v>
      </c>
      <c r="H592" s="45" t="str">
        <f>IF(ISNUMBER(E592),F592-E592,"N/A")</f>
        <v>N/A</v>
      </c>
      <c r="I592" s="46" t="str">
        <f>IF(E592&lt;&gt;"",IF(F592=E592,"No Change",IF(F592&gt;E592,"Increase","Decrease")),"New")</f>
        <v>Increase</v>
      </c>
      <c r="J592" s="58"/>
      <c r="K592" s="59" t="str">
        <f>IF(LEN(J592)&gt;0,IF(OR(ISLOGICAL(J592),J592="TRUE"),"Yes",""),"")</f>
      </c>
      <c r="L592" s="59"/>
      <c r="M592" s="59"/>
      <c r="N592" s="62" t="str">
        <f>IF(LEN(M592)&gt;0,IF(OR(ISLOGICAL(M592),M592="TRUE"),"Yes",""),"")</f>
      </c>
      <c r="O592" s="59"/>
      <c r="P592" s="62" t="str">
        <f>IF(LEN(O592)&gt;0,IF(OR(ISLOGICAL(O592),O592="TRUE"),"Yes",""),"")</f>
      </c>
      <c r="Q592" s="62" t="s">
        <v>98</v>
      </c>
      <c r="R592" s="63"/>
    </row>
    <row r="593" spans="1:18" s="47" customFormat="1" ht="51">
      <c r="A593" s="63" t="s">
        <v>1260</v>
      </c>
      <c r="B593" s="63" t="s">
        <v>96</v>
      </c>
      <c r="C593" s="63" t="s">
        <v>1261</v>
      </c>
      <c r="D593" s="61"/>
      <c r="E593" s="45">
        <v>0.235</v>
      </c>
      <c r="F593" s="45">
        <v>0.235</v>
      </c>
      <c r="G593" s="66">
        <v>46082</v>
      </c>
      <c r="H593" s="45" t="str">
        <f>IF(ISNUMBER(E593),F593-E593,"N/A")</f>
        <v>N/A</v>
      </c>
      <c r="I593" s="46" t="str">
        <f>IF(E593&lt;&gt;"",IF(F593=E593,"No Change",IF(F593&gt;E593,"Increase","Decrease")),"New")</f>
        <v>Increase</v>
      </c>
      <c r="J593" s="58" t="s">
        <v>122</v>
      </c>
      <c r="K593" s="59" t="str">
        <f>IF(LEN(J593)&gt;0,IF(OR(ISLOGICAL(J593),J593="TRUE"),"Yes",""),"")</f>
      </c>
      <c r="L593" s="59"/>
      <c r="M593" s="59"/>
      <c r="N593" s="62" t="str">
        <f>IF(LEN(M593)&gt;0,IF(OR(ISLOGICAL(M593),M593="TRUE"),"Yes",""),"")</f>
      </c>
      <c r="O593" s="59"/>
      <c r="P593" s="62" t="str">
        <f>IF(LEN(O593)&gt;0,IF(OR(ISLOGICAL(O593),O593="TRUE"),"Yes",""),"")</f>
      </c>
      <c r="Q593" s="62" t="s">
        <v>98</v>
      </c>
      <c r="R593" s="63"/>
    </row>
    <row r="594" spans="1:18" s="47" customFormat="1" ht="51">
      <c r="A594" s="63" t="s">
        <v>1262</v>
      </c>
      <c r="B594" s="63" t="s">
        <v>96</v>
      </c>
      <c r="C594" s="63" t="s">
        <v>1263</v>
      </c>
      <c r="D594" s="61"/>
      <c r="E594" s="45">
        <v>0.151</v>
      </c>
      <c r="F594" s="45">
        <v>0.151</v>
      </c>
      <c r="G594" s="66">
        <v>46074</v>
      </c>
      <c r="H594" s="45" t="str">
        <f>IF(ISNUMBER(E594),F594-E594,"N/A")</f>
        <v>N/A</v>
      </c>
      <c r="I594" s="46" t="str">
        <f>IF(E594&lt;&gt;"",IF(F594=E594,"No Change",IF(F594&gt;E594,"Increase","Decrease")),"New")</f>
        <v>Increase</v>
      </c>
      <c r="J594" s="58" t="s">
        <v>122</v>
      </c>
      <c r="K594" s="59" t="str">
        <f>IF(LEN(J594)&gt;0,IF(OR(ISLOGICAL(J594),J594="TRUE"),"Yes",""),"")</f>
      </c>
      <c r="L594" s="59"/>
      <c r="M594" s="59"/>
      <c r="N594" s="62" t="str">
        <f>IF(LEN(M594)&gt;0,IF(OR(ISLOGICAL(M594),M594="TRUE"),"Yes",""),"")</f>
      </c>
      <c r="O594" s="59"/>
      <c r="P594" s="62" t="str">
        <f>IF(LEN(O594)&gt;0,IF(OR(ISLOGICAL(O594),O594="TRUE"),"Yes",""),"")</f>
      </c>
      <c r="Q594" s="62" t="s">
        <v>98</v>
      </c>
      <c r="R594" s="63"/>
    </row>
    <row r="595" spans="1:18" s="47" customFormat="1" ht="51">
      <c r="A595" s="63" t="s">
        <v>1264</v>
      </c>
      <c r="B595" s="63" t="s">
        <v>96</v>
      </c>
      <c r="C595" s="63" t="s">
        <v>1265</v>
      </c>
      <c r="D595" s="61"/>
      <c r="E595" s="45">
        <v>0.123</v>
      </c>
      <c r="F595" s="45">
        <v>0.1256</v>
      </c>
      <c r="G595" s="66">
        <v>46148</v>
      </c>
      <c r="H595" s="45" t="str">
        <f>IF(ISNUMBER(E595),F595-E595,"N/A")</f>
        <v>N/A</v>
      </c>
      <c r="I595" s="46" t="str">
        <f>IF(E595&lt;&gt;"",IF(F595=E595,"No Change",IF(F595&gt;E595,"Increase","Decrease")),"New")</f>
        <v>Increase</v>
      </c>
      <c r="J595" s="58" t="s">
        <v>122</v>
      </c>
      <c r="K595" s="59" t="str">
        <f>IF(LEN(J595)&gt;0,IF(OR(ISLOGICAL(J595),J595="TRUE"),"Yes",""),"")</f>
      </c>
      <c r="L595" s="59"/>
      <c r="M595" s="59"/>
      <c r="N595" s="62" t="str">
        <f>IF(LEN(M595)&gt;0,IF(OR(ISLOGICAL(M595),M595="TRUE"),"Yes",""),"")</f>
      </c>
      <c r="O595" s="59"/>
      <c r="P595" s="62" t="str">
        <f>IF(LEN(O595)&gt;0,IF(OR(ISLOGICAL(O595),O595="TRUE"),"Yes",""),"")</f>
      </c>
      <c r="Q595" s="62" t="s">
        <v>98</v>
      </c>
      <c r="R595" s="63"/>
    </row>
    <row r="596" spans="1:18" s="47" customFormat="1" ht="51">
      <c r="A596" s="63" t="s">
        <v>1266</v>
      </c>
      <c r="B596" s="63" t="s">
        <v>96</v>
      </c>
      <c r="C596" s="63" t="s">
        <v>1267</v>
      </c>
      <c r="D596" s="61"/>
      <c r="E596" s="45">
        <v>0.16</v>
      </c>
      <c r="F596" s="45">
        <v>0.16</v>
      </c>
      <c r="G596" s="66">
        <v>46099</v>
      </c>
      <c r="H596" s="45" t="str">
        <f>IF(ISNUMBER(E596),F596-E596,"N/A")</f>
        <v>N/A</v>
      </c>
      <c r="I596" s="46" t="str">
        <f>IF(E596&lt;&gt;"",IF(F596=E596,"No Change",IF(F596&gt;E596,"Increase","Decrease")),"New")</f>
        <v>Increase</v>
      </c>
      <c r="J596" s="58" t="s">
        <v>122</v>
      </c>
      <c r="K596" s="59" t="str">
        <f>IF(LEN(J596)&gt;0,IF(OR(ISLOGICAL(J596),J596="TRUE"),"Yes",""),"")</f>
      </c>
      <c r="L596" s="59"/>
      <c r="M596" s="59"/>
      <c r="N596" s="62" t="str">
        <f>IF(LEN(M596)&gt;0,IF(OR(ISLOGICAL(M596),M596="TRUE"),"Yes",""),"")</f>
      </c>
      <c r="O596" s="59"/>
      <c r="P596" s="62" t="str">
        <f>IF(LEN(O596)&gt;0,IF(OR(ISLOGICAL(O596),O596="TRUE"),"Yes",""),"")</f>
      </c>
      <c r="Q596" s="62" t="s">
        <v>98</v>
      </c>
      <c r="R596" s="63"/>
    </row>
    <row r="597" spans="1:18" s="47" customFormat="1" ht="51">
      <c r="A597" s="63" t="s">
        <v>1268</v>
      </c>
      <c r="B597" s="63" t="s">
        <v>96</v>
      </c>
      <c r="C597" s="63" t="s">
        <v>1269</v>
      </c>
      <c r="D597" s="61"/>
      <c r="E597" s="45">
        <v>0.151</v>
      </c>
      <c r="F597" s="45">
        <v>0.151</v>
      </c>
      <c r="G597" s="66">
        <v>46082</v>
      </c>
      <c r="H597" s="45" t="str">
        <f>IF(ISNUMBER(E597),F597-E597,"N/A")</f>
        <v>N/A</v>
      </c>
      <c r="I597" s="46" t="str">
        <f>IF(E597&lt;&gt;"",IF(F597=E597,"No Change",IF(F597&gt;E597,"Increase","Decrease")),"New")</f>
        <v>Increase</v>
      </c>
      <c r="J597" s="58"/>
      <c r="K597" s="59" t="str">
        <f>IF(LEN(J597)&gt;0,IF(OR(ISLOGICAL(J597),J597="TRUE"),"Yes",""),"")</f>
      </c>
      <c r="L597" s="59"/>
      <c r="M597" s="59"/>
      <c r="N597" s="62" t="str">
        <f>IF(LEN(M597)&gt;0,IF(OR(ISLOGICAL(M597),M597="TRUE"),"Yes",""),"")</f>
      </c>
      <c r="O597" s="59"/>
      <c r="P597" s="62" t="str">
        <f>IF(LEN(O597)&gt;0,IF(OR(ISLOGICAL(O597),O597="TRUE"),"Yes",""),"")</f>
      </c>
      <c r="Q597" s="62" t="s">
        <v>98</v>
      </c>
      <c r="R597" s="63"/>
    </row>
    <row r="598" spans="1:18" s="47" customFormat="1" ht="51">
      <c r="A598" s="63" t="s">
        <v>1270</v>
      </c>
      <c r="B598" s="63" t="s">
        <v>96</v>
      </c>
      <c r="C598" s="63" t="s">
        <v>1271</v>
      </c>
      <c r="D598" s="61"/>
      <c r="E598" s="45">
        <v>1.09</v>
      </c>
      <c r="F598" s="45">
        <v>1.09</v>
      </c>
      <c r="G598" s="66">
        <v>45597</v>
      </c>
      <c r="H598" s="45" t="str">
        <f>IF(ISNUMBER(E598),F598-E598,"N/A")</f>
        <v>N/A</v>
      </c>
      <c r="I598" s="46" t="str">
        <f>IF(E598&lt;&gt;"",IF(F598=E598,"No Change",IF(F598&gt;E598,"Increase","Decrease")),"New")</f>
        <v>Increase</v>
      </c>
      <c r="J598" s="58"/>
      <c r="K598" s="59" t="str">
        <f>IF(LEN(J598)&gt;0,IF(OR(ISLOGICAL(J598),J598="TRUE"),"Yes",""),"")</f>
      </c>
      <c r="L598" s="59"/>
      <c r="M598" s="59"/>
      <c r="N598" s="62" t="str">
        <f>IF(LEN(M598)&gt;0,IF(OR(ISLOGICAL(M598),M598="TRUE"),"Yes",""),"")</f>
      </c>
      <c r="O598" s="59"/>
      <c r="P598" s="62" t="str">
        <f>IF(LEN(O598)&gt;0,IF(OR(ISLOGICAL(O598),O598="TRUE"),"Yes",""),"")</f>
      </c>
      <c r="Q598" s="62" t="s">
        <v>109</v>
      </c>
      <c r="R598" s="63"/>
    </row>
    <row r="599" spans="1:18" s="47" customFormat="1" ht="51">
      <c r="A599" s="63" t="s">
        <v>1272</v>
      </c>
      <c r="B599" s="63" t="s">
        <v>96</v>
      </c>
      <c r="C599" s="63" t="s">
        <v>1273</v>
      </c>
      <c r="D599" s="61"/>
      <c r="E599" s="45">
        <v>1.09</v>
      </c>
      <c r="F599" s="45">
        <v>1.09</v>
      </c>
      <c r="G599" s="66">
        <v>44166</v>
      </c>
      <c r="H599" s="45" t="str">
        <f>IF(ISNUMBER(E599),F599-E599,"N/A")</f>
        <v>N/A</v>
      </c>
      <c r="I599" s="46" t="str">
        <f>IF(E599&lt;&gt;"",IF(F599=E599,"No Change",IF(F599&gt;E599,"Increase","Decrease")),"New")</f>
        <v>Increase</v>
      </c>
      <c r="J599" s="58"/>
      <c r="K599" s="59" t="str">
        <f>IF(LEN(J599)&gt;0,IF(OR(ISLOGICAL(J599),J599="TRUE"),"Yes",""),"")</f>
      </c>
      <c r="L599" s="59"/>
      <c r="M599" s="59"/>
      <c r="N599" s="62" t="str">
        <f>IF(LEN(M599)&gt;0,IF(OR(ISLOGICAL(M599),M599="TRUE"),"Yes",""),"")</f>
      </c>
      <c r="O599" s="59"/>
      <c r="P599" s="62" t="str">
        <f>IF(LEN(O599)&gt;0,IF(OR(ISLOGICAL(O599),O599="TRUE"),"Yes",""),"")</f>
      </c>
      <c r="Q599" s="62" t="s">
        <v>109</v>
      </c>
      <c r="R599" s="63"/>
    </row>
    <row r="600" spans="1:18" s="47" customFormat="1" ht="51">
      <c r="A600" s="63" t="s">
        <v>1274</v>
      </c>
      <c r="B600" s="63" t="s">
        <v>96</v>
      </c>
      <c r="C600" s="63" t="s">
        <v>1275</v>
      </c>
      <c r="D600" s="61"/>
      <c r="E600" s="45">
        <v>1.49</v>
      </c>
      <c r="F600" s="45">
        <v>1.49</v>
      </c>
      <c r="G600" s="66">
        <v>46113</v>
      </c>
      <c r="H600" s="45" t="str">
        <f>IF(ISNUMBER(E600),F600-E600,"N/A")</f>
        <v>N/A</v>
      </c>
      <c r="I600" s="46" t="str">
        <f>IF(E600&lt;&gt;"",IF(F600=E600,"No Change",IF(F600&gt;E600,"Increase","Decrease")),"New")</f>
        <v>Increase</v>
      </c>
      <c r="J600" s="58"/>
      <c r="K600" s="59" t="str">
        <f>IF(LEN(J600)&gt;0,IF(OR(ISLOGICAL(J600),J600="TRUE"),"Yes",""),"")</f>
      </c>
      <c r="L600" s="59"/>
      <c r="M600" s="59"/>
      <c r="N600" s="62" t="str">
        <f>IF(LEN(M600)&gt;0,IF(OR(ISLOGICAL(M600),M600="TRUE"),"Yes",""),"")</f>
      </c>
      <c r="O600" s="59"/>
      <c r="P600" s="62" t="str">
        <f>IF(LEN(O600)&gt;0,IF(OR(ISLOGICAL(O600),O600="TRUE"),"Yes",""),"")</f>
      </c>
      <c r="Q600" s="62" t="s">
        <v>109</v>
      </c>
      <c r="R600" s="63"/>
    </row>
    <row r="601" spans="1:18" s="47" customFormat="1" ht="51">
      <c r="A601" s="63" t="s">
        <v>1276</v>
      </c>
      <c r="B601" s="63" t="s">
        <v>96</v>
      </c>
      <c r="C601" s="63" t="s">
        <v>1277</v>
      </c>
      <c r="D601" s="61"/>
      <c r="E601" s="45">
        <v>1.35</v>
      </c>
      <c r="F601" s="45">
        <v>1.35</v>
      </c>
      <c r="G601" s="66">
        <v>44166</v>
      </c>
      <c r="H601" s="45" t="str">
        <f>IF(ISNUMBER(E601),F601-E601,"N/A")</f>
        <v>N/A</v>
      </c>
      <c r="I601" s="46" t="str">
        <f>IF(E601&lt;&gt;"",IF(F601=E601,"No Change",IF(F601&gt;E601,"Increase","Decrease")),"New")</f>
        <v>Increase</v>
      </c>
      <c r="J601" s="58"/>
      <c r="K601" s="59" t="str">
        <f>IF(LEN(J601)&gt;0,IF(OR(ISLOGICAL(J601),J601="TRUE"),"Yes",""),"")</f>
      </c>
      <c r="L601" s="59"/>
      <c r="M601" s="59"/>
      <c r="N601" s="62" t="str">
        <f>IF(LEN(M601)&gt;0,IF(OR(ISLOGICAL(M601),M601="TRUE"),"Yes",""),"")</f>
      </c>
      <c r="O601" s="59"/>
      <c r="P601" s="62" t="str">
        <f>IF(LEN(O601)&gt;0,IF(OR(ISLOGICAL(O601),O601="TRUE"),"Yes",""),"")</f>
      </c>
      <c r="Q601" s="62" t="s">
        <v>109</v>
      </c>
      <c r="R601" s="63"/>
    </row>
    <row r="602" spans="1:18" s="47" customFormat="1" ht="51">
      <c r="A602" s="63" t="s">
        <v>1278</v>
      </c>
      <c r="B602" s="63" t="s">
        <v>96</v>
      </c>
      <c r="C602" s="63" t="s">
        <v>1279</v>
      </c>
      <c r="D602" s="61"/>
      <c r="E602" s="45">
        <v>0.4015</v>
      </c>
      <c r="F602" s="45">
        <v>0.4015</v>
      </c>
      <c r="G602" s="66">
        <v>46078</v>
      </c>
      <c r="H602" s="45" t="str">
        <f>IF(ISNUMBER(E602),F602-E602,"N/A")</f>
        <v>N/A</v>
      </c>
      <c r="I602" s="46" t="str">
        <f>IF(E602&lt;&gt;"",IF(F602=E602,"No Change",IF(F602&gt;E602,"Increase","Decrease")),"New")</f>
        <v>Increase</v>
      </c>
      <c r="J602" s="58"/>
      <c r="K602" s="59" t="str">
        <f>IF(LEN(J602)&gt;0,IF(OR(ISLOGICAL(J602),J602="TRUE"),"Yes",""),"")</f>
      </c>
      <c r="L602" s="59"/>
      <c r="M602" s="59"/>
      <c r="N602" s="62" t="str">
        <f>IF(LEN(M602)&gt;0,IF(OR(ISLOGICAL(M602),M602="TRUE"),"Yes",""),"")</f>
      </c>
      <c r="O602" s="59"/>
      <c r="P602" s="62" t="str">
        <f>IF(LEN(O602)&gt;0,IF(OR(ISLOGICAL(O602),O602="TRUE"),"Yes",""),"")</f>
      </c>
      <c r="Q602" s="62" t="s">
        <v>98</v>
      </c>
      <c r="R602" s="63"/>
    </row>
    <row r="603" spans="1:18" s="47" customFormat="1" ht="51">
      <c r="A603" s="63" t="s">
        <v>1280</v>
      </c>
      <c r="B603" s="63" t="s">
        <v>96</v>
      </c>
      <c r="C603" s="63" t="s">
        <v>1281</v>
      </c>
      <c r="D603" s="61"/>
      <c r="E603" s="45">
        <v>0.445</v>
      </c>
      <c r="F603" s="45">
        <v>0.445</v>
      </c>
      <c r="G603" s="66">
        <v>46099</v>
      </c>
      <c r="H603" s="45" t="str">
        <f>IF(ISNUMBER(E603),F603-E603,"N/A")</f>
        <v>N/A</v>
      </c>
      <c r="I603" s="46" t="str">
        <f>IF(E603&lt;&gt;"",IF(F603=E603,"No Change",IF(F603&gt;E603,"Increase","Decrease")),"New")</f>
        <v>Increase</v>
      </c>
      <c r="J603" s="58"/>
      <c r="K603" s="59" t="str">
        <f>IF(LEN(J603)&gt;0,IF(OR(ISLOGICAL(J603),J603="TRUE"),"Yes",""),"")</f>
      </c>
      <c r="L603" s="59"/>
      <c r="M603" s="59"/>
      <c r="N603" s="62" t="str">
        <f>IF(LEN(M603)&gt;0,IF(OR(ISLOGICAL(M603),M603="TRUE"),"Yes",""),"")</f>
      </c>
      <c r="O603" s="59"/>
      <c r="P603" s="62" t="str">
        <f>IF(LEN(O603)&gt;0,IF(OR(ISLOGICAL(O603),O603="TRUE"),"Yes",""),"")</f>
      </c>
      <c r="Q603" s="62" t="s">
        <v>98</v>
      </c>
      <c r="R603" s="63"/>
    </row>
    <row r="604" spans="1:18" s="47" customFormat="1" ht="51">
      <c r="A604" s="63" t="s">
        <v>1282</v>
      </c>
      <c r="B604" s="63" t="s">
        <v>96</v>
      </c>
      <c r="C604" s="63" t="s">
        <v>1283</v>
      </c>
      <c r="D604" s="61"/>
      <c r="E604" s="45">
        <v>0.445</v>
      </c>
      <c r="F604" s="45">
        <v>0.445</v>
      </c>
      <c r="G604" s="66">
        <v>46099</v>
      </c>
      <c r="H604" s="45" t="str">
        <f>IF(ISNUMBER(E604),F604-E604,"N/A")</f>
        <v>N/A</v>
      </c>
      <c r="I604" s="46" t="str">
        <f>IF(E604&lt;&gt;"",IF(F604=E604,"No Change",IF(F604&gt;E604,"Increase","Decrease")),"New")</f>
        <v>Increase</v>
      </c>
      <c r="J604" s="58"/>
      <c r="K604" s="59" t="str">
        <f>IF(LEN(J604)&gt;0,IF(OR(ISLOGICAL(J604),J604="TRUE"),"Yes",""),"")</f>
      </c>
      <c r="L604" s="59"/>
      <c r="M604" s="59"/>
      <c r="N604" s="62" t="str">
        <f>IF(LEN(M604)&gt;0,IF(OR(ISLOGICAL(M604),M604="TRUE"),"Yes",""),"")</f>
      </c>
      <c r="O604" s="59"/>
      <c r="P604" s="62" t="str">
        <f>IF(LEN(O604)&gt;0,IF(OR(ISLOGICAL(O604),O604="TRUE"),"Yes",""),"")</f>
      </c>
      <c r="Q604" s="62" t="s">
        <v>98</v>
      </c>
      <c r="R604" s="63"/>
    </row>
    <row r="605" spans="1:18" s="47" customFormat="1" ht="51">
      <c r="A605" s="63" t="s">
        <v>1284</v>
      </c>
      <c r="B605" s="63" t="s">
        <v>96</v>
      </c>
      <c r="C605" s="63" t="s">
        <v>1285</v>
      </c>
      <c r="D605" s="61"/>
      <c r="E605" s="45">
        <v>0.028</v>
      </c>
      <c r="F605" s="45">
        <v>0.028</v>
      </c>
      <c r="G605" s="66">
        <v>46120</v>
      </c>
      <c r="H605" s="45" t="str">
        <f>IF(ISNUMBER(E605),F605-E605,"N/A")</f>
        <v>N/A</v>
      </c>
      <c r="I605" s="46" t="str">
        <f>IF(E605&lt;&gt;"",IF(F605=E605,"No Change",IF(F605&gt;E605,"Increase","Decrease")),"New")</f>
        <v>Increase</v>
      </c>
      <c r="J605" s="58"/>
      <c r="K605" s="59" t="str">
        <f>IF(LEN(J605)&gt;0,IF(OR(ISLOGICAL(J605),J605="TRUE"),"Yes",""),"")</f>
      </c>
      <c r="L605" s="59"/>
      <c r="M605" s="59"/>
      <c r="N605" s="62" t="str">
        <f>IF(LEN(M605)&gt;0,IF(OR(ISLOGICAL(M605),M605="TRUE"),"Yes",""),"")</f>
      </c>
      <c r="O605" s="59"/>
      <c r="P605" s="62" t="str">
        <f>IF(LEN(O605)&gt;0,IF(OR(ISLOGICAL(O605),O605="TRUE"),"Yes",""),"")</f>
      </c>
      <c r="Q605" s="62" t="s">
        <v>98</v>
      </c>
      <c r="R605" s="63"/>
    </row>
    <row r="606" spans="1:18" s="47" customFormat="1" ht="51">
      <c r="A606" s="63" t="s">
        <v>1286</v>
      </c>
      <c r="B606" s="63" t="s">
        <v>96</v>
      </c>
      <c r="C606" s="63" t="s">
        <v>1287</v>
      </c>
      <c r="D606" s="61"/>
      <c r="E606" s="45">
        <v>0.0265</v>
      </c>
      <c r="F606" s="45">
        <v>0.0265</v>
      </c>
      <c r="G606" s="66">
        <v>46113</v>
      </c>
      <c r="H606" s="45" t="str">
        <f>IF(ISNUMBER(E606),F606-E606,"N/A")</f>
        <v>N/A</v>
      </c>
      <c r="I606" s="46" t="str">
        <f>IF(E606&lt;&gt;"",IF(F606=E606,"No Change",IF(F606&gt;E606,"Increase","Decrease")),"New")</f>
        <v>Increase</v>
      </c>
      <c r="J606" s="58" t="s">
        <v>122</v>
      </c>
      <c r="K606" s="59" t="str">
        <f>IF(LEN(J606)&gt;0,IF(OR(ISLOGICAL(J606),J606="TRUE"),"Yes",""),"")</f>
      </c>
      <c r="L606" s="59"/>
      <c r="M606" s="59"/>
      <c r="N606" s="62" t="str">
        <f>IF(LEN(M606)&gt;0,IF(OR(ISLOGICAL(M606),M606="TRUE"),"Yes",""),"")</f>
      </c>
      <c r="O606" s="59"/>
      <c r="P606" s="62" t="str">
        <f>IF(LEN(O606)&gt;0,IF(OR(ISLOGICAL(O606),O606="TRUE"),"Yes",""),"")</f>
      </c>
      <c r="Q606" s="62" t="s">
        <v>98</v>
      </c>
      <c r="R606" s="63"/>
    </row>
    <row r="607" spans="1:18" s="47" customFormat="1" ht="51">
      <c r="A607" s="63" t="s">
        <v>1288</v>
      </c>
      <c r="B607" s="63" t="s">
        <v>96</v>
      </c>
      <c r="C607" s="63" t="s">
        <v>1289</v>
      </c>
      <c r="D607" s="61"/>
      <c r="E607" s="45">
        <v>0.0265</v>
      </c>
      <c r="F607" s="45">
        <v>0.0265</v>
      </c>
      <c r="G607" s="66">
        <v>46113</v>
      </c>
      <c r="H607" s="45" t="str">
        <f>IF(ISNUMBER(E607),F607-E607,"N/A")</f>
        <v>N/A</v>
      </c>
      <c r="I607" s="46" t="str">
        <f>IF(E607&lt;&gt;"",IF(F607=E607,"No Change",IF(F607&gt;E607,"Increase","Decrease")),"New")</f>
        <v>Increase</v>
      </c>
      <c r="J607" s="58" t="s">
        <v>122</v>
      </c>
      <c r="K607" s="59" t="str">
        <f>IF(LEN(J607)&gt;0,IF(OR(ISLOGICAL(J607),J607="TRUE"),"Yes",""),"")</f>
      </c>
      <c r="L607" s="59"/>
      <c r="M607" s="59"/>
      <c r="N607" s="62" t="str">
        <f>IF(LEN(M607)&gt;0,IF(OR(ISLOGICAL(M607),M607="TRUE"),"Yes",""),"")</f>
      </c>
      <c r="O607" s="59"/>
      <c r="P607" s="62" t="str">
        <f>IF(LEN(O607)&gt;0,IF(OR(ISLOGICAL(O607),O607="TRUE"),"Yes",""),"")</f>
      </c>
      <c r="Q607" s="62" t="s">
        <v>98</v>
      </c>
      <c r="R607" s="63"/>
    </row>
    <row r="608" spans="1:18" s="47" customFormat="1" ht="51">
      <c r="A608" s="63" t="s">
        <v>1290</v>
      </c>
      <c r="B608" s="63" t="s">
        <v>96</v>
      </c>
      <c r="C608" s="63" t="s">
        <v>1291</v>
      </c>
      <c r="D608" s="61"/>
      <c r="E608" s="45">
        <v>0.027</v>
      </c>
      <c r="F608" s="45">
        <v>0.027</v>
      </c>
      <c r="G608" s="66">
        <v>46113</v>
      </c>
      <c r="H608" s="45" t="str">
        <f>IF(ISNUMBER(E608),F608-E608,"N/A")</f>
        <v>N/A</v>
      </c>
      <c r="I608" s="46" t="str">
        <f>IF(E608&lt;&gt;"",IF(F608=E608,"No Change",IF(F608&gt;E608,"Increase","Decrease")),"New")</f>
        <v>Increase</v>
      </c>
      <c r="J608" s="58" t="s">
        <v>122</v>
      </c>
      <c r="K608" s="59" t="str">
        <f>IF(LEN(J608)&gt;0,IF(OR(ISLOGICAL(J608),J608="TRUE"),"Yes",""),"")</f>
      </c>
      <c r="L608" s="59"/>
      <c r="M608" s="59"/>
      <c r="N608" s="62" t="str">
        <f>IF(LEN(M608)&gt;0,IF(OR(ISLOGICAL(M608),M608="TRUE"),"Yes",""),"")</f>
      </c>
      <c r="O608" s="59"/>
      <c r="P608" s="62" t="str">
        <f>IF(LEN(O608)&gt;0,IF(OR(ISLOGICAL(O608),O608="TRUE"),"Yes",""),"")</f>
      </c>
      <c r="Q608" s="62" t="s">
        <v>98</v>
      </c>
      <c r="R608" s="63"/>
    </row>
    <row r="609" spans="1:18" s="47" customFormat="1" ht="51">
      <c r="A609" s="63" t="s">
        <v>1292</v>
      </c>
      <c r="B609" s="63" t="s">
        <v>96</v>
      </c>
      <c r="C609" s="63" t="s">
        <v>1293</v>
      </c>
      <c r="D609" s="61"/>
      <c r="E609" s="45">
        <v>0.165</v>
      </c>
      <c r="F609" s="45">
        <v>0.165</v>
      </c>
      <c r="G609" s="66">
        <v>46092</v>
      </c>
      <c r="H609" s="45" t="str">
        <f>IF(ISNUMBER(E609),F609-E609,"N/A")</f>
        <v>N/A</v>
      </c>
      <c r="I609" s="46" t="str">
        <f>IF(E609&lt;&gt;"",IF(F609=E609,"No Change",IF(F609&gt;E609,"Increase","Decrease")),"New")</f>
        <v>Increase</v>
      </c>
      <c r="J609" s="58"/>
      <c r="K609" s="59" t="str">
        <f>IF(LEN(J609)&gt;0,IF(OR(ISLOGICAL(J609),J609="TRUE"),"Yes",""),"")</f>
      </c>
      <c r="L609" s="59"/>
      <c r="M609" s="59"/>
      <c r="N609" s="62" t="str">
        <f>IF(LEN(M609)&gt;0,IF(OR(ISLOGICAL(M609),M609="TRUE"),"Yes",""),"")</f>
      </c>
      <c r="O609" s="59"/>
      <c r="P609" s="62" t="str">
        <f>IF(LEN(O609)&gt;0,IF(OR(ISLOGICAL(O609),O609="TRUE"),"Yes",""),"")</f>
      </c>
      <c r="Q609" s="62" t="s">
        <v>98</v>
      </c>
      <c r="R609" s="63"/>
    </row>
    <row r="610" spans="1:18" s="47" customFormat="1" ht="51">
      <c r="A610" s="63" t="s">
        <v>1294</v>
      </c>
      <c r="B610" s="63" t="s">
        <v>96</v>
      </c>
      <c r="C610" s="63" t="s">
        <v>1295</v>
      </c>
      <c r="D610" s="61"/>
      <c r="E610" s="45">
        <v>0.165</v>
      </c>
      <c r="F610" s="45">
        <v>0.165</v>
      </c>
      <c r="G610" s="66">
        <v>46078</v>
      </c>
      <c r="H610" s="45" t="str">
        <f>IF(ISNUMBER(E610),F610-E610,"N/A")</f>
        <v>N/A</v>
      </c>
      <c r="I610" s="46" t="str">
        <f>IF(E610&lt;&gt;"",IF(F610=E610,"No Change",IF(F610&gt;E610,"Increase","Decrease")),"New")</f>
        <v>Increase</v>
      </c>
      <c r="J610" s="58"/>
      <c r="K610" s="59" t="str">
        <f>IF(LEN(J610)&gt;0,IF(OR(ISLOGICAL(J610),J610="TRUE"),"Yes",""),"")</f>
      </c>
      <c r="L610" s="59"/>
      <c r="M610" s="59"/>
      <c r="N610" s="62" t="str">
        <f>IF(LEN(M610)&gt;0,IF(OR(ISLOGICAL(M610),M610="TRUE"),"Yes",""),"")</f>
      </c>
      <c r="O610" s="59"/>
      <c r="P610" s="62" t="str">
        <f>IF(LEN(O610)&gt;0,IF(OR(ISLOGICAL(O610),O610="TRUE"),"Yes",""),"")</f>
      </c>
      <c r="Q610" s="62" t="s">
        <v>98</v>
      </c>
      <c r="R610" s="63"/>
    </row>
    <row r="611" spans="1:18" s="47" customFormat="1" ht="51">
      <c r="A611" s="63" t="s">
        <v>1296</v>
      </c>
      <c r="B611" s="63" t="s">
        <v>96</v>
      </c>
      <c r="C611" s="63" t="s">
        <v>1297</v>
      </c>
      <c r="D611" s="61"/>
      <c r="E611" s="45">
        <v>0.223</v>
      </c>
      <c r="F611" s="45">
        <v>0.223</v>
      </c>
      <c r="G611" s="66">
        <v>46082</v>
      </c>
      <c r="H611" s="45" t="str">
        <f>IF(ISNUMBER(E611),F611-E611,"N/A")</f>
        <v>N/A</v>
      </c>
      <c r="I611" s="46" t="str">
        <f>IF(E611&lt;&gt;"",IF(F611=E611,"No Change",IF(F611&gt;E611,"Increase","Decrease")),"New")</f>
        <v>Increase</v>
      </c>
      <c r="J611" s="58"/>
      <c r="K611" s="59" t="str">
        <f>IF(LEN(J611)&gt;0,IF(OR(ISLOGICAL(J611),J611="TRUE"),"Yes",""),"")</f>
      </c>
      <c r="L611" s="59"/>
      <c r="M611" s="59"/>
      <c r="N611" s="62" t="str">
        <f>IF(LEN(M611)&gt;0,IF(OR(ISLOGICAL(M611),M611="TRUE"),"Yes",""),"")</f>
      </c>
      <c r="O611" s="59"/>
      <c r="P611" s="62" t="str">
        <f>IF(LEN(O611)&gt;0,IF(OR(ISLOGICAL(O611),O611="TRUE"),"Yes",""),"")</f>
      </c>
      <c r="Q611" s="62" t="s">
        <v>98</v>
      </c>
      <c r="R611" s="63"/>
    </row>
    <row r="612" spans="1:18" s="47" customFormat="1" ht="51">
      <c r="A612" s="63" t="s">
        <v>1298</v>
      </c>
      <c r="B612" s="63" t="s">
        <v>96</v>
      </c>
      <c r="C612" s="63" t="s">
        <v>1299</v>
      </c>
      <c r="D612" s="61"/>
      <c r="E612" s="45">
        <v>0.223</v>
      </c>
      <c r="F612" s="45">
        <v>0.223</v>
      </c>
      <c r="G612" s="66">
        <v>46082</v>
      </c>
      <c r="H612" s="45" t="str">
        <f>IF(ISNUMBER(E612),F612-E612,"N/A")</f>
        <v>N/A</v>
      </c>
      <c r="I612" s="46" t="str">
        <f>IF(E612&lt;&gt;"",IF(F612=E612,"No Change",IF(F612&gt;E612,"Increase","Decrease")),"New")</f>
        <v>Increase</v>
      </c>
      <c r="J612" s="58"/>
      <c r="K612" s="59" t="str">
        <f>IF(LEN(J612)&gt;0,IF(OR(ISLOGICAL(J612),J612="TRUE"),"Yes",""),"")</f>
      </c>
      <c r="L612" s="59"/>
      <c r="M612" s="59"/>
      <c r="N612" s="62" t="str">
        <f>IF(LEN(M612)&gt;0,IF(OR(ISLOGICAL(M612),M612="TRUE"),"Yes",""),"")</f>
      </c>
      <c r="O612" s="59"/>
      <c r="P612" s="62" t="str">
        <f>IF(LEN(O612)&gt;0,IF(OR(ISLOGICAL(O612),O612="TRUE"),"Yes",""),"")</f>
      </c>
      <c r="Q612" s="62" t="s">
        <v>98</v>
      </c>
      <c r="R612" s="63"/>
    </row>
    <row r="613" spans="1:18" s="47" customFormat="1" ht="51">
      <c r="A613" s="63" t="s">
        <v>1300</v>
      </c>
      <c r="B613" s="63" t="s">
        <v>96</v>
      </c>
      <c r="C613" s="63" t="s">
        <v>1301</v>
      </c>
      <c r="D613" s="61"/>
      <c r="E613" s="45">
        <v>0.223</v>
      </c>
      <c r="F613" s="45">
        <v>0.223</v>
      </c>
      <c r="G613" s="66">
        <v>46082</v>
      </c>
      <c r="H613" s="45" t="str">
        <f>IF(ISNUMBER(E613),F613-E613,"N/A")</f>
        <v>N/A</v>
      </c>
      <c r="I613" s="46" t="str">
        <f>IF(E613&lt;&gt;"",IF(F613=E613,"No Change",IF(F613&gt;E613,"Increase","Decrease")),"New")</f>
        <v>Increase</v>
      </c>
      <c r="J613" s="58"/>
      <c r="K613" s="59" t="str">
        <f>IF(LEN(J613)&gt;0,IF(OR(ISLOGICAL(J613),J613="TRUE"),"Yes",""),"")</f>
      </c>
      <c r="L613" s="59"/>
      <c r="M613" s="59"/>
      <c r="N613" s="62" t="str">
        <f>IF(LEN(M613)&gt;0,IF(OR(ISLOGICAL(M613),M613="TRUE"),"Yes",""),"")</f>
      </c>
      <c r="O613" s="59"/>
      <c r="P613" s="62" t="str">
        <f>IF(LEN(O613)&gt;0,IF(OR(ISLOGICAL(O613),O613="TRUE"),"Yes",""),"")</f>
      </c>
      <c r="Q613" s="62" t="s">
        <v>98</v>
      </c>
      <c r="R613" s="63"/>
    </row>
    <row r="614" spans="1:18" s="47" customFormat="1" ht="51">
      <c r="A614" s="63" t="s">
        <v>1302</v>
      </c>
      <c r="B614" s="63" t="s">
        <v>96</v>
      </c>
      <c r="C614" s="63" t="s">
        <v>1303</v>
      </c>
      <c r="D614" s="61"/>
      <c r="E614" s="45">
        <v>0.223</v>
      </c>
      <c r="F614" s="45">
        <v>0.223</v>
      </c>
      <c r="G614" s="66">
        <v>46082</v>
      </c>
      <c r="H614" s="45" t="str">
        <f>IF(ISNUMBER(E614),F614-E614,"N/A")</f>
        <v>N/A</v>
      </c>
      <c r="I614" s="46" t="str">
        <f>IF(E614&lt;&gt;"",IF(F614=E614,"No Change",IF(F614&gt;E614,"Increase","Decrease")),"New")</f>
        <v>Increase</v>
      </c>
      <c r="J614" s="58"/>
      <c r="K614" s="59" t="str">
        <f>IF(LEN(J614)&gt;0,IF(OR(ISLOGICAL(J614),J614="TRUE"),"Yes",""),"")</f>
      </c>
      <c r="L614" s="59"/>
      <c r="M614" s="59"/>
      <c r="N614" s="62" t="str">
        <f>IF(LEN(M614)&gt;0,IF(OR(ISLOGICAL(M614),M614="TRUE"),"Yes",""),"")</f>
      </c>
      <c r="O614" s="59"/>
      <c r="P614" s="62" t="str">
        <f>IF(LEN(O614)&gt;0,IF(OR(ISLOGICAL(O614),O614="TRUE"),"Yes",""),"")</f>
      </c>
      <c r="Q614" s="62" t="s">
        <v>98</v>
      </c>
      <c r="R614" s="63"/>
    </row>
    <row r="615" spans="1:18" s="47" customFormat="1" ht="51">
      <c r="A615" s="63" t="s">
        <v>1304</v>
      </c>
      <c r="B615" s="63" t="s">
        <v>96</v>
      </c>
      <c r="C615" s="63" t="s">
        <v>1305</v>
      </c>
      <c r="D615" s="61"/>
      <c r="E615" s="45">
        <v>0.223</v>
      </c>
      <c r="F615" s="45">
        <v>0.223</v>
      </c>
      <c r="G615" s="66">
        <v>46082</v>
      </c>
      <c r="H615" s="45" t="str">
        <f>IF(ISNUMBER(E615),F615-E615,"N/A")</f>
        <v>N/A</v>
      </c>
      <c r="I615" s="46" t="str">
        <f>IF(E615&lt;&gt;"",IF(F615=E615,"No Change",IF(F615&gt;E615,"Increase","Decrease")),"New")</f>
        <v>Increase</v>
      </c>
      <c r="J615" s="58"/>
      <c r="K615" s="59" t="str">
        <f>IF(LEN(J615)&gt;0,IF(OR(ISLOGICAL(J615),J615="TRUE"),"Yes",""),"")</f>
      </c>
      <c r="L615" s="59"/>
      <c r="M615" s="59"/>
      <c r="N615" s="62" t="str">
        <f>IF(LEN(M615)&gt;0,IF(OR(ISLOGICAL(M615),M615="TRUE"),"Yes",""),"")</f>
      </c>
      <c r="O615" s="59"/>
      <c r="P615" s="62" t="str">
        <f>IF(LEN(O615)&gt;0,IF(OR(ISLOGICAL(O615),O615="TRUE"),"Yes",""),"")</f>
      </c>
      <c r="Q615" s="62" t="s">
        <v>98</v>
      </c>
      <c r="R615" s="63"/>
    </row>
    <row r="616" spans="1:18" s="47" customFormat="1" ht="51">
      <c r="A616" s="63" t="s">
        <v>1306</v>
      </c>
      <c r="B616" s="63" t="s">
        <v>96</v>
      </c>
      <c r="C616" s="63" t="s">
        <v>1307</v>
      </c>
      <c r="D616" s="61"/>
      <c r="E616" s="45">
        <v>0.063</v>
      </c>
      <c r="F616" s="45">
        <v>0.063</v>
      </c>
      <c r="G616" s="66">
        <v>46078</v>
      </c>
      <c r="H616" s="45" t="str">
        <f>IF(ISNUMBER(E616),F616-E616,"N/A")</f>
        <v>N/A</v>
      </c>
      <c r="I616" s="46" t="str">
        <f>IF(E616&lt;&gt;"",IF(F616=E616,"No Change",IF(F616&gt;E616,"Increase","Decrease")),"New")</f>
        <v>Increase</v>
      </c>
      <c r="J616" s="58"/>
      <c r="K616" s="59" t="str">
        <f>IF(LEN(J616)&gt;0,IF(OR(ISLOGICAL(J616),J616="TRUE"),"Yes",""),"")</f>
      </c>
      <c r="L616" s="59"/>
      <c r="M616" s="59"/>
      <c r="N616" s="62" t="str">
        <f>IF(LEN(M616)&gt;0,IF(OR(ISLOGICAL(M616),M616="TRUE"),"Yes",""),"")</f>
      </c>
      <c r="O616" s="59"/>
      <c r="P616" s="62" t="str">
        <f>IF(LEN(O616)&gt;0,IF(OR(ISLOGICAL(O616),O616="TRUE"),"Yes",""),"")</f>
      </c>
      <c r="Q616" s="62" t="s">
        <v>98</v>
      </c>
      <c r="R616" s="63"/>
    </row>
    <row r="617" spans="1:18" s="47" customFormat="1" ht="51">
      <c r="A617" s="63" t="s">
        <v>1308</v>
      </c>
      <c r="B617" s="63" t="s">
        <v>96</v>
      </c>
      <c r="C617" s="63" t="s">
        <v>1309</v>
      </c>
      <c r="D617" s="61"/>
      <c r="E617" s="45">
        <v>0.063</v>
      </c>
      <c r="F617" s="45">
        <v>0.063</v>
      </c>
      <c r="G617" s="66">
        <v>46078</v>
      </c>
      <c r="H617" s="45" t="str">
        <f>IF(ISNUMBER(E617),F617-E617,"N/A")</f>
        <v>N/A</v>
      </c>
      <c r="I617" s="46" t="str">
        <f>IF(E617&lt;&gt;"",IF(F617=E617,"No Change",IF(F617&gt;E617,"Increase","Decrease")),"New")</f>
        <v>Increase</v>
      </c>
      <c r="J617" s="58" t="s">
        <v>122</v>
      </c>
      <c r="K617" s="59" t="str">
        <f>IF(LEN(J617)&gt;0,IF(OR(ISLOGICAL(J617),J617="TRUE"),"Yes",""),"")</f>
      </c>
      <c r="L617" s="59"/>
      <c r="M617" s="59"/>
      <c r="N617" s="62" t="str">
        <f>IF(LEN(M617)&gt;0,IF(OR(ISLOGICAL(M617),M617="TRUE"),"Yes",""),"")</f>
      </c>
      <c r="O617" s="59"/>
      <c r="P617" s="62" t="str">
        <f>IF(LEN(O617)&gt;0,IF(OR(ISLOGICAL(O617),O617="TRUE"),"Yes",""),"")</f>
      </c>
      <c r="Q617" s="62" t="s">
        <v>98</v>
      </c>
      <c r="R617" s="63"/>
    </row>
    <row r="618" spans="1:18" s="47" customFormat="1" ht="51">
      <c r="A618" s="63" t="s">
        <v>1310</v>
      </c>
      <c r="B618" s="63" t="s">
        <v>96</v>
      </c>
      <c r="C618" s="63" t="s">
        <v>1311</v>
      </c>
      <c r="D618" s="61"/>
      <c r="E618" s="45">
        <v>0.286</v>
      </c>
      <c r="F618" s="45">
        <v>0.286</v>
      </c>
      <c r="G618" s="66">
        <v>46085</v>
      </c>
      <c r="H618" s="45" t="str">
        <f>IF(ISNUMBER(E618),F618-E618,"N/A")</f>
        <v>N/A</v>
      </c>
      <c r="I618" s="46" t="str">
        <f>IF(E618&lt;&gt;"",IF(F618=E618,"No Change",IF(F618&gt;E618,"Increase","Decrease")),"New")</f>
        <v>Increase</v>
      </c>
      <c r="J618" s="58"/>
      <c r="K618" s="59" t="str">
        <f>IF(LEN(J618)&gt;0,IF(OR(ISLOGICAL(J618),J618="TRUE"),"Yes",""),"")</f>
      </c>
      <c r="L618" s="59"/>
      <c r="M618" s="59"/>
      <c r="N618" s="62" t="str">
        <f>IF(LEN(M618)&gt;0,IF(OR(ISLOGICAL(M618),M618="TRUE"),"Yes",""),"")</f>
      </c>
      <c r="O618" s="59"/>
      <c r="P618" s="62" t="str">
        <f>IF(LEN(O618)&gt;0,IF(OR(ISLOGICAL(O618),O618="TRUE"),"Yes",""),"")</f>
      </c>
      <c r="Q618" s="62" t="s">
        <v>98</v>
      </c>
      <c r="R618" s="63"/>
    </row>
    <row r="619" spans="1:18" s="47" customFormat="1" ht="51">
      <c r="A619" s="63" t="s">
        <v>1312</v>
      </c>
      <c r="B619" s="63" t="s">
        <v>96</v>
      </c>
      <c r="C619" s="63" t="s">
        <v>1313</v>
      </c>
      <c r="D619" s="61"/>
      <c r="E619" s="45">
        <v>0.29</v>
      </c>
      <c r="F619" s="45">
        <v>0.29</v>
      </c>
      <c r="G619" s="66">
        <v>46092</v>
      </c>
      <c r="H619" s="45" t="str">
        <f>IF(ISNUMBER(E619),F619-E619,"N/A")</f>
        <v>N/A</v>
      </c>
      <c r="I619" s="46" t="str">
        <f>IF(E619&lt;&gt;"",IF(F619=E619,"No Change",IF(F619&gt;E619,"Increase","Decrease")),"New")</f>
        <v>Increase</v>
      </c>
      <c r="J619" s="58"/>
      <c r="K619" s="59" t="str">
        <f>IF(LEN(J619)&gt;0,IF(OR(ISLOGICAL(J619),J619="TRUE"),"Yes",""),"")</f>
      </c>
      <c r="L619" s="59"/>
      <c r="M619" s="59"/>
      <c r="N619" s="62" t="str">
        <f>IF(LEN(M619)&gt;0,IF(OR(ISLOGICAL(M619),M619="TRUE"),"Yes",""),"")</f>
      </c>
      <c r="O619" s="59"/>
      <c r="P619" s="62" t="str">
        <f>IF(LEN(O619)&gt;0,IF(OR(ISLOGICAL(O619),O619="TRUE"),"Yes",""),"")</f>
      </c>
      <c r="Q619" s="62" t="s">
        <v>98</v>
      </c>
      <c r="R619" s="63"/>
    </row>
    <row r="620" spans="1:18" s="47" customFormat="1" ht="51">
      <c r="A620" s="63" t="s">
        <v>1314</v>
      </c>
      <c r="B620" s="63" t="s">
        <v>96</v>
      </c>
      <c r="C620" s="63" t="s">
        <v>1315</v>
      </c>
      <c r="D620" s="61"/>
      <c r="E620" s="45">
        <v>0.29</v>
      </c>
      <c r="F620" s="45">
        <v>0.29</v>
      </c>
      <c r="G620" s="66">
        <v>46082</v>
      </c>
      <c r="H620" s="45" t="str">
        <f>IF(ISNUMBER(E620),F620-E620,"N/A")</f>
        <v>N/A</v>
      </c>
      <c r="I620" s="46" t="str">
        <f>IF(E620&lt;&gt;"",IF(F620=E620,"No Change",IF(F620&gt;E620,"Increase","Decrease")),"New")</f>
        <v>Increase</v>
      </c>
      <c r="J620" s="58"/>
      <c r="K620" s="59" t="str">
        <f>IF(LEN(J620)&gt;0,IF(OR(ISLOGICAL(J620),J620="TRUE"),"Yes",""),"")</f>
      </c>
      <c r="L620" s="59"/>
      <c r="M620" s="59"/>
      <c r="N620" s="62" t="str">
        <f>IF(LEN(M620)&gt;0,IF(OR(ISLOGICAL(M620),M620="TRUE"),"Yes",""),"")</f>
      </c>
      <c r="O620" s="59"/>
      <c r="P620" s="62" t="str">
        <f>IF(LEN(O620)&gt;0,IF(OR(ISLOGICAL(O620),O620="TRUE"),"Yes",""),"")</f>
      </c>
      <c r="Q620" s="62" t="s">
        <v>98</v>
      </c>
      <c r="R620" s="63"/>
    </row>
    <row r="621" spans="1:18" s="47" customFormat="1" ht="51">
      <c r="A621" s="63" t="s">
        <v>1316</v>
      </c>
      <c r="B621" s="63" t="s">
        <v>96</v>
      </c>
      <c r="C621" s="63" t="s">
        <v>1317</v>
      </c>
      <c r="D621" s="61"/>
      <c r="E621" s="45">
        <v>0.29</v>
      </c>
      <c r="F621" s="45">
        <v>0.29</v>
      </c>
      <c r="G621" s="66">
        <v>46078</v>
      </c>
      <c r="H621" s="45" t="str">
        <f>IF(ISNUMBER(E621),F621-E621,"N/A")</f>
        <v>N/A</v>
      </c>
      <c r="I621" s="46" t="str">
        <f>IF(E621&lt;&gt;"",IF(F621=E621,"No Change",IF(F621&gt;E621,"Increase","Decrease")),"New")</f>
        <v>Increase</v>
      </c>
      <c r="J621" s="58" t="s">
        <v>122</v>
      </c>
      <c r="K621" s="59" t="str">
        <f>IF(LEN(J621)&gt;0,IF(OR(ISLOGICAL(J621),J621="TRUE"),"Yes",""),"")</f>
      </c>
      <c r="L621" s="59"/>
      <c r="M621" s="59"/>
      <c r="N621" s="62" t="str">
        <f>IF(LEN(M621)&gt;0,IF(OR(ISLOGICAL(M621),M621="TRUE"),"Yes",""),"")</f>
      </c>
      <c r="O621" s="59"/>
      <c r="P621" s="62" t="str">
        <f>IF(LEN(O621)&gt;0,IF(OR(ISLOGICAL(O621),O621="TRUE"),"Yes",""),"")</f>
      </c>
      <c r="Q621" s="62" t="s">
        <v>98</v>
      </c>
      <c r="R621" s="63"/>
    </row>
    <row r="622" spans="1:18" s="47" customFormat="1" ht="51">
      <c r="A622" s="63" t="s">
        <v>1318</v>
      </c>
      <c r="B622" s="63" t="s">
        <v>96</v>
      </c>
      <c r="C622" s="63" t="s">
        <v>1319</v>
      </c>
      <c r="D622" s="61"/>
      <c r="E622" s="45">
        <v>0.283</v>
      </c>
      <c r="F622" s="45">
        <v>0.283</v>
      </c>
      <c r="G622" s="66">
        <v>46082</v>
      </c>
      <c r="H622" s="45" t="str">
        <f>IF(ISNUMBER(E622),F622-E622,"N/A")</f>
        <v>N/A</v>
      </c>
      <c r="I622" s="46" t="str">
        <f>IF(E622&lt;&gt;"",IF(F622=E622,"No Change",IF(F622&gt;E622,"Increase","Decrease")),"New")</f>
        <v>Increase</v>
      </c>
      <c r="J622" s="58" t="s">
        <v>122</v>
      </c>
      <c r="K622" s="59" t="str">
        <f>IF(LEN(J622)&gt;0,IF(OR(ISLOGICAL(J622),J622="TRUE"),"Yes",""),"")</f>
      </c>
      <c r="L622" s="59"/>
      <c r="M622" s="59"/>
      <c r="N622" s="62" t="str">
        <f>IF(LEN(M622)&gt;0,IF(OR(ISLOGICAL(M622),M622="TRUE"),"Yes",""),"")</f>
      </c>
      <c r="O622" s="59"/>
      <c r="P622" s="62" t="str">
        <f>IF(LEN(O622)&gt;0,IF(OR(ISLOGICAL(O622),O622="TRUE"),"Yes",""),"")</f>
      </c>
      <c r="Q622" s="62" t="s">
        <v>98</v>
      </c>
      <c r="R622" s="63"/>
    </row>
    <row r="623" spans="1:18" s="47" customFormat="1" ht="51">
      <c r="A623" s="63" t="s">
        <v>1320</v>
      </c>
      <c r="B623" s="63" t="s">
        <v>96</v>
      </c>
      <c r="C623" s="63" t="s">
        <v>1321</v>
      </c>
      <c r="D623" s="61"/>
      <c r="E623" s="45">
        <v>0.248</v>
      </c>
      <c r="F623" s="45">
        <v>0.248</v>
      </c>
      <c r="G623" s="66">
        <v>46078</v>
      </c>
      <c r="H623" s="45" t="str">
        <f>IF(ISNUMBER(E623),F623-E623,"N/A")</f>
        <v>N/A</v>
      </c>
      <c r="I623" s="46" t="str">
        <f>IF(E623&lt;&gt;"",IF(F623=E623,"No Change",IF(F623&gt;E623,"Increase","Decrease")),"New")</f>
        <v>Increase</v>
      </c>
      <c r="J623" s="58" t="s">
        <v>122</v>
      </c>
      <c r="K623" s="59" t="str">
        <f>IF(LEN(J623)&gt;0,IF(OR(ISLOGICAL(J623),J623="TRUE"),"Yes",""),"")</f>
      </c>
      <c r="L623" s="59"/>
      <c r="M623" s="59"/>
      <c r="N623" s="62" t="str">
        <f>IF(LEN(M623)&gt;0,IF(OR(ISLOGICAL(M623),M623="TRUE"),"Yes",""),"")</f>
      </c>
      <c r="O623" s="59"/>
      <c r="P623" s="62" t="str">
        <f>IF(LEN(O623)&gt;0,IF(OR(ISLOGICAL(O623),O623="TRUE"),"Yes",""),"")</f>
      </c>
      <c r="Q623" s="62" t="s">
        <v>98</v>
      </c>
      <c r="R623" s="63"/>
    </row>
    <row r="624" spans="1:18" s="47" customFormat="1" ht="51">
      <c r="A624" s="63" t="s">
        <v>1322</v>
      </c>
      <c r="B624" s="63" t="s">
        <v>96</v>
      </c>
      <c r="C624" s="63" t="s">
        <v>1323</v>
      </c>
      <c r="D624" s="61"/>
      <c r="E624" s="45">
        <v>0.285</v>
      </c>
      <c r="F624" s="45">
        <v>0.285</v>
      </c>
      <c r="G624" s="66">
        <v>46078</v>
      </c>
      <c r="H624" s="45" t="str">
        <f>IF(ISNUMBER(E624),F624-E624,"N/A")</f>
        <v>N/A</v>
      </c>
      <c r="I624" s="46" t="str">
        <f>IF(E624&lt;&gt;"",IF(F624=E624,"No Change",IF(F624&gt;E624,"Increase","Decrease")),"New")</f>
        <v>Increase</v>
      </c>
      <c r="J624" s="58" t="s">
        <v>122</v>
      </c>
      <c r="K624" s="59" t="str">
        <f>IF(LEN(J624)&gt;0,IF(OR(ISLOGICAL(J624),J624="TRUE"),"Yes",""),"")</f>
      </c>
      <c r="L624" s="59"/>
      <c r="M624" s="59"/>
      <c r="N624" s="62" t="str">
        <f>IF(LEN(M624)&gt;0,IF(OR(ISLOGICAL(M624),M624="TRUE"),"Yes",""),"")</f>
      </c>
      <c r="O624" s="59"/>
      <c r="P624" s="62" t="str">
        <f>IF(LEN(O624)&gt;0,IF(OR(ISLOGICAL(O624),O624="TRUE"),"Yes",""),"")</f>
      </c>
      <c r="Q624" s="62" t="s">
        <v>98</v>
      </c>
      <c r="R624" s="63"/>
    </row>
    <row r="625" spans="1:18" s="47" customFormat="1" ht="51">
      <c r="A625" s="63" t="s">
        <v>1324</v>
      </c>
      <c r="B625" s="63" t="s">
        <v>96</v>
      </c>
      <c r="C625" s="63" t="s">
        <v>1325</v>
      </c>
      <c r="D625" s="61"/>
      <c r="E625" s="45">
        <v>0.248</v>
      </c>
      <c r="F625" s="45">
        <v>0.248</v>
      </c>
      <c r="G625" s="66">
        <v>46092</v>
      </c>
      <c r="H625" s="45" t="str">
        <f>IF(ISNUMBER(E625),F625-E625,"N/A")</f>
        <v>N/A</v>
      </c>
      <c r="I625" s="46" t="str">
        <f>IF(E625&lt;&gt;"",IF(F625=E625,"No Change",IF(F625&gt;E625,"Increase","Decrease")),"New")</f>
        <v>Increase</v>
      </c>
      <c r="J625" s="58"/>
      <c r="K625" s="59" t="str">
        <f>IF(LEN(J625)&gt;0,IF(OR(ISLOGICAL(J625),J625="TRUE"),"Yes",""),"")</f>
      </c>
      <c r="L625" s="59"/>
      <c r="M625" s="59"/>
      <c r="N625" s="62" t="str">
        <f>IF(LEN(M625)&gt;0,IF(OR(ISLOGICAL(M625),M625="TRUE"),"Yes",""),"")</f>
      </c>
      <c r="O625" s="59"/>
      <c r="P625" s="62" t="str">
        <f>IF(LEN(O625)&gt;0,IF(OR(ISLOGICAL(O625),O625="TRUE"),"Yes",""),"")</f>
      </c>
      <c r="Q625" s="62" t="s">
        <v>98</v>
      </c>
      <c r="R625" s="63"/>
    </row>
    <row r="626" spans="1:18" s="47" customFormat="1" ht="51">
      <c r="A626" s="63" t="s">
        <v>1326</v>
      </c>
      <c r="B626" s="63" t="s">
        <v>96</v>
      </c>
      <c r="C626" s="63" t="s">
        <v>1327</v>
      </c>
      <c r="D626" s="61"/>
      <c r="E626" s="45">
        <v>0.07</v>
      </c>
      <c r="F626" s="45">
        <v>0.07</v>
      </c>
      <c r="G626" s="66">
        <v>46078</v>
      </c>
      <c r="H626" s="45" t="str">
        <f>IF(ISNUMBER(E626),F626-E626,"N/A")</f>
        <v>N/A</v>
      </c>
      <c r="I626" s="46" t="str">
        <f>IF(E626&lt;&gt;"",IF(F626=E626,"No Change",IF(F626&gt;E626,"Increase","Decrease")),"New")</f>
        <v>Increase</v>
      </c>
      <c r="J626" s="58"/>
      <c r="K626" s="59" t="str">
        <f>IF(LEN(J626)&gt;0,IF(OR(ISLOGICAL(J626),J626="TRUE"),"Yes",""),"")</f>
      </c>
      <c r="L626" s="59"/>
      <c r="M626" s="59"/>
      <c r="N626" s="62" t="str">
        <f>IF(LEN(M626)&gt;0,IF(OR(ISLOGICAL(M626),M626="TRUE"),"Yes",""),"")</f>
      </c>
      <c r="O626" s="59"/>
      <c r="P626" s="62" t="str">
        <f>IF(LEN(O626)&gt;0,IF(OR(ISLOGICAL(O626),O626="TRUE"),"Yes",""),"")</f>
      </c>
      <c r="Q626" s="62" t="s">
        <v>98</v>
      </c>
      <c r="R626" s="63"/>
    </row>
    <row r="627" spans="1:18" s="47" customFormat="1" ht="51">
      <c r="A627" s="63" t="s">
        <v>1328</v>
      </c>
      <c r="B627" s="63" t="s">
        <v>96</v>
      </c>
      <c r="C627" s="63" t="s">
        <v>1329</v>
      </c>
      <c r="D627" s="61"/>
      <c r="E627" s="45">
        <v>0.1345</v>
      </c>
      <c r="F627" s="45">
        <v>0.1345</v>
      </c>
      <c r="G627" s="66">
        <v>46092</v>
      </c>
      <c r="H627" s="45" t="str">
        <f>IF(ISNUMBER(E627),F627-E627,"N/A")</f>
        <v>N/A</v>
      </c>
      <c r="I627" s="46" t="str">
        <f>IF(E627&lt;&gt;"",IF(F627=E627,"No Change",IF(F627&gt;E627,"Increase","Decrease")),"New")</f>
        <v>Increase</v>
      </c>
      <c r="J627" s="58"/>
      <c r="K627" s="59" t="str">
        <f>IF(LEN(J627)&gt;0,IF(OR(ISLOGICAL(J627),J627="TRUE"),"Yes",""),"")</f>
      </c>
      <c r="L627" s="59"/>
      <c r="M627" s="59"/>
      <c r="N627" s="62" t="str">
        <f>IF(LEN(M627)&gt;0,IF(OR(ISLOGICAL(M627),M627="TRUE"),"Yes",""),"")</f>
      </c>
      <c r="O627" s="59"/>
      <c r="P627" s="62" t="str">
        <f>IF(LEN(O627)&gt;0,IF(OR(ISLOGICAL(O627),O627="TRUE"),"Yes",""),"")</f>
      </c>
      <c r="Q627" s="62" t="s">
        <v>98</v>
      </c>
      <c r="R627" s="63"/>
    </row>
    <row r="628" spans="1:18" s="47" customFormat="1" ht="51">
      <c r="A628" s="63" t="s">
        <v>1330</v>
      </c>
      <c r="B628" s="63" t="s">
        <v>96</v>
      </c>
      <c r="C628" s="63" t="s">
        <v>1331</v>
      </c>
      <c r="D628" s="61"/>
      <c r="E628" s="45">
        <v>1.01</v>
      </c>
      <c r="F628" s="45">
        <v>1.01</v>
      </c>
      <c r="G628" s="66">
        <v>46078</v>
      </c>
      <c r="H628" s="45" t="str">
        <f>IF(ISNUMBER(E628),F628-E628,"N/A")</f>
        <v>N/A</v>
      </c>
      <c r="I628" s="46" t="str">
        <f>IF(E628&lt;&gt;"",IF(F628=E628,"No Change",IF(F628&gt;E628,"Increase","Decrease")),"New")</f>
        <v>Increase</v>
      </c>
      <c r="J628" s="58"/>
      <c r="K628" s="59" t="str">
        <f>IF(LEN(J628)&gt;0,IF(OR(ISLOGICAL(J628),J628="TRUE"),"Yes",""),"")</f>
      </c>
      <c r="L628" s="59"/>
      <c r="M628" s="59"/>
      <c r="N628" s="62" t="str">
        <f>IF(LEN(M628)&gt;0,IF(OR(ISLOGICAL(M628),M628="TRUE"),"Yes",""),"")</f>
      </c>
      <c r="O628" s="59"/>
      <c r="P628" s="62" t="str">
        <f>IF(LEN(O628)&gt;0,IF(OR(ISLOGICAL(O628),O628="TRUE"),"Yes",""),"")</f>
      </c>
      <c r="Q628" s="62" t="s">
        <v>109</v>
      </c>
      <c r="R628" s="63"/>
    </row>
    <row r="629" spans="1:18" s="47" customFormat="1" ht="51">
      <c r="A629" s="63" t="s">
        <v>1332</v>
      </c>
      <c r="B629" s="63" t="s">
        <v>96</v>
      </c>
      <c r="C629" s="63" t="s">
        <v>1333</v>
      </c>
      <c r="D629" s="61"/>
      <c r="E629" s="45">
        <v>1.01</v>
      </c>
      <c r="F629" s="45">
        <v>1.01</v>
      </c>
      <c r="G629" s="66">
        <v>46082</v>
      </c>
      <c r="H629" s="45" t="str">
        <f>IF(ISNUMBER(E629),F629-E629,"N/A")</f>
        <v>N/A</v>
      </c>
      <c r="I629" s="46" t="str">
        <f>IF(E629&lt;&gt;"",IF(F629=E629,"No Change",IF(F629&gt;E629,"Increase","Decrease")),"New")</f>
        <v>Increase</v>
      </c>
      <c r="J629" s="58"/>
      <c r="K629" s="59" t="str">
        <f>IF(LEN(J629)&gt;0,IF(OR(ISLOGICAL(J629),J629="TRUE"),"Yes",""),"")</f>
      </c>
      <c r="L629" s="59"/>
      <c r="M629" s="59"/>
      <c r="N629" s="62" t="str">
        <f>IF(LEN(M629)&gt;0,IF(OR(ISLOGICAL(M629),M629="TRUE"),"Yes",""),"")</f>
      </c>
      <c r="O629" s="59"/>
      <c r="P629" s="62" t="str">
        <f>IF(LEN(O629)&gt;0,IF(OR(ISLOGICAL(O629),O629="TRUE"),"Yes",""),"")</f>
      </c>
      <c r="Q629" s="62" t="s">
        <v>109</v>
      </c>
      <c r="R629" s="63"/>
    </row>
    <row r="630" spans="1:18" s="47" customFormat="1" ht="51">
      <c r="A630" s="63" t="s">
        <v>1334</v>
      </c>
      <c r="B630" s="63" t="s">
        <v>96</v>
      </c>
      <c r="C630" s="63" t="s">
        <v>1335</v>
      </c>
      <c r="D630" s="61"/>
      <c r="E630" s="45">
        <v>1.01</v>
      </c>
      <c r="F630" s="45">
        <v>1.01</v>
      </c>
      <c r="G630" s="66">
        <v>46082</v>
      </c>
      <c r="H630" s="45" t="str">
        <f>IF(ISNUMBER(E630),F630-E630,"N/A")</f>
        <v>N/A</v>
      </c>
      <c r="I630" s="46" t="str">
        <f>IF(E630&lt;&gt;"",IF(F630=E630,"No Change",IF(F630&gt;E630,"Increase","Decrease")),"New")</f>
        <v>Increase</v>
      </c>
      <c r="J630" s="58"/>
      <c r="K630" s="59" t="str">
        <f>IF(LEN(J630)&gt;0,IF(OR(ISLOGICAL(J630),J630="TRUE"),"Yes",""),"")</f>
      </c>
      <c r="L630" s="59"/>
      <c r="M630" s="59"/>
      <c r="N630" s="62" t="str">
        <f>IF(LEN(M630)&gt;0,IF(OR(ISLOGICAL(M630),M630="TRUE"),"Yes",""),"")</f>
      </c>
      <c r="O630" s="59"/>
      <c r="P630" s="62" t="str">
        <f>IF(LEN(O630)&gt;0,IF(OR(ISLOGICAL(O630),O630="TRUE"),"Yes",""),"")</f>
      </c>
      <c r="Q630" s="62" t="s">
        <v>109</v>
      </c>
      <c r="R630" s="63"/>
    </row>
    <row r="631" spans="1:18" s="47" customFormat="1" ht="51">
      <c r="A631" s="63" t="s">
        <v>1336</v>
      </c>
      <c r="B631" s="63" t="s">
        <v>96</v>
      </c>
      <c r="C631" s="63" t="s">
        <v>1337</v>
      </c>
      <c r="D631" s="61"/>
      <c r="E631" s="45">
        <v>1.01</v>
      </c>
      <c r="F631" s="45">
        <v>1.01</v>
      </c>
      <c r="G631" s="66">
        <v>46082</v>
      </c>
      <c r="H631" s="45" t="str">
        <f>IF(ISNUMBER(E631),F631-E631,"N/A")</f>
        <v>N/A</v>
      </c>
      <c r="I631" s="46" t="str">
        <f>IF(E631&lt;&gt;"",IF(F631=E631,"No Change",IF(F631&gt;E631,"Increase","Decrease")),"New")</f>
        <v>Increase</v>
      </c>
      <c r="J631" s="58"/>
      <c r="K631" s="59" t="str">
        <f>IF(LEN(J631)&gt;0,IF(OR(ISLOGICAL(J631),J631="TRUE"),"Yes",""),"")</f>
      </c>
      <c r="L631" s="59"/>
      <c r="M631" s="59"/>
      <c r="N631" s="62" t="str">
        <f>IF(LEN(M631)&gt;0,IF(OR(ISLOGICAL(M631),M631="TRUE"),"Yes",""),"")</f>
      </c>
      <c r="O631" s="59"/>
      <c r="P631" s="62" t="str">
        <f>IF(LEN(O631)&gt;0,IF(OR(ISLOGICAL(O631),O631="TRUE"),"Yes",""),"")</f>
      </c>
      <c r="Q631" s="62" t="s">
        <v>109</v>
      </c>
      <c r="R631" s="63"/>
    </row>
    <row r="632" spans="1:18" s="47" customFormat="1" ht="51">
      <c r="A632" s="63" t="s">
        <v>1338</v>
      </c>
      <c r="B632" s="63" t="s">
        <v>96</v>
      </c>
      <c r="C632" s="63" t="s">
        <v>1339</v>
      </c>
      <c r="D632" s="61"/>
      <c r="E632" s="45">
        <v>0.295</v>
      </c>
      <c r="F632" s="45">
        <v>0.295</v>
      </c>
      <c r="G632" s="66">
        <v>46078</v>
      </c>
      <c r="H632" s="45" t="str">
        <f>IF(ISNUMBER(E632),F632-E632,"N/A")</f>
        <v>N/A</v>
      </c>
      <c r="I632" s="46" t="str">
        <f>IF(E632&lt;&gt;"",IF(F632=E632,"No Change",IF(F632&gt;E632,"Increase","Decrease")),"New")</f>
        <v>Increase</v>
      </c>
      <c r="J632" s="58"/>
      <c r="K632" s="59" t="str">
        <f>IF(LEN(J632)&gt;0,IF(OR(ISLOGICAL(J632),J632="TRUE"),"Yes",""),"")</f>
      </c>
      <c r="L632" s="59"/>
      <c r="M632" s="59"/>
      <c r="N632" s="62" t="str">
        <f>IF(LEN(M632)&gt;0,IF(OR(ISLOGICAL(M632),M632="TRUE"),"Yes",""),"")</f>
      </c>
      <c r="O632" s="59"/>
      <c r="P632" s="62" t="str">
        <f>IF(LEN(O632)&gt;0,IF(OR(ISLOGICAL(O632),O632="TRUE"),"Yes",""),"")</f>
      </c>
      <c r="Q632" s="62" t="s">
        <v>98</v>
      </c>
      <c r="R632" s="63"/>
    </row>
    <row r="633" spans="1:18" s="47" customFormat="1" ht="51">
      <c r="A633" s="63" t="s">
        <v>1340</v>
      </c>
      <c r="B633" s="63" t="s">
        <v>96</v>
      </c>
      <c r="C633" s="63" t="s">
        <v>1341</v>
      </c>
      <c r="D633" s="61"/>
      <c r="E633" s="45">
        <v>0.315</v>
      </c>
      <c r="F633" s="45">
        <v>0.315</v>
      </c>
      <c r="G633" s="66">
        <v>45838</v>
      </c>
      <c r="H633" s="45" t="str">
        <f>IF(ISNUMBER(E633),F633-E633,"N/A")</f>
        <v>N/A</v>
      </c>
      <c r="I633" s="46" t="str">
        <f>IF(E633&lt;&gt;"",IF(F633=E633,"No Change",IF(F633&gt;E633,"Increase","Decrease")),"New")</f>
        <v>Increase</v>
      </c>
      <c r="J633" s="58"/>
      <c r="K633" s="59" t="str">
        <f>IF(LEN(J633)&gt;0,IF(OR(ISLOGICAL(J633),J633="TRUE"),"Yes",""),"")</f>
      </c>
      <c r="L633" s="59"/>
      <c r="M633" s="59"/>
      <c r="N633" s="62" t="str">
        <f>IF(LEN(M633)&gt;0,IF(OR(ISLOGICAL(M633),M633="TRUE"),"Yes",""),"")</f>
      </c>
      <c r="O633" s="59"/>
      <c r="P633" s="62" t="str">
        <f>IF(LEN(O633)&gt;0,IF(OR(ISLOGICAL(O633),O633="TRUE"),"Yes",""),"")</f>
      </c>
      <c r="Q633" s="62" t="s">
        <v>98</v>
      </c>
      <c r="R633" s="63"/>
    </row>
    <row r="634" spans="1:18" s="47" customFormat="1" ht="51">
      <c r="A634" s="63" t="s">
        <v>1342</v>
      </c>
      <c r="B634" s="63" t="s">
        <v>96</v>
      </c>
      <c r="C634" s="63" t="s">
        <v>1343</v>
      </c>
      <c r="D634" s="61"/>
      <c r="E634" s="45">
        <v>0.35</v>
      </c>
      <c r="F634" s="45">
        <v>0.35</v>
      </c>
      <c r="G634" s="66">
        <v>46082</v>
      </c>
      <c r="H634" s="45" t="str">
        <f>IF(ISNUMBER(E634),F634-E634,"N/A")</f>
        <v>N/A</v>
      </c>
      <c r="I634" s="46" t="str">
        <f>IF(E634&lt;&gt;"",IF(F634=E634,"No Change",IF(F634&gt;E634,"Increase","Decrease")),"New")</f>
        <v>Increase</v>
      </c>
      <c r="J634" s="58"/>
      <c r="K634" s="59" t="str">
        <f>IF(LEN(J634)&gt;0,IF(OR(ISLOGICAL(J634),J634="TRUE"),"Yes",""),"")</f>
      </c>
      <c r="L634" s="59"/>
      <c r="M634" s="59"/>
      <c r="N634" s="62" t="str">
        <f>IF(LEN(M634)&gt;0,IF(OR(ISLOGICAL(M634),M634="TRUE"),"Yes",""),"")</f>
      </c>
      <c r="O634" s="59"/>
      <c r="P634" s="62" t="str">
        <f>IF(LEN(O634)&gt;0,IF(OR(ISLOGICAL(O634),O634="TRUE"),"Yes",""),"")</f>
      </c>
      <c r="Q634" s="62" t="s">
        <v>109</v>
      </c>
      <c r="R634" s="63"/>
    </row>
    <row r="635" spans="1:18" s="47" customFormat="1" ht="51">
      <c r="A635" s="63" t="s">
        <v>1344</v>
      </c>
      <c r="B635" s="63" t="s">
        <v>96</v>
      </c>
      <c r="C635" s="63" t="s">
        <v>1345</v>
      </c>
      <c r="D635" s="61"/>
      <c r="E635" s="45">
        <v>0.295</v>
      </c>
      <c r="F635" s="45">
        <v>0.295</v>
      </c>
      <c r="G635" s="66">
        <v>46082</v>
      </c>
      <c r="H635" s="45" t="str">
        <f>IF(ISNUMBER(E635),F635-E635,"N/A")</f>
        <v>N/A</v>
      </c>
      <c r="I635" s="46" t="str">
        <f>IF(E635&lt;&gt;"",IF(F635=E635,"No Change",IF(F635&gt;E635,"Increase","Decrease")),"New")</f>
        <v>Increase</v>
      </c>
      <c r="J635" s="58"/>
      <c r="K635" s="59" t="str">
        <f>IF(LEN(J635)&gt;0,IF(OR(ISLOGICAL(J635),J635="TRUE"),"Yes",""),"")</f>
      </c>
      <c r="L635" s="59"/>
      <c r="M635" s="59"/>
      <c r="N635" s="62" t="str">
        <f>IF(LEN(M635)&gt;0,IF(OR(ISLOGICAL(M635),M635="TRUE"),"Yes",""),"")</f>
      </c>
      <c r="O635" s="59"/>
      <c r="P635" s="62" t="str">
        <f>IF(LEN(O635)&gt;0,IF(OR(ISLOGICAL(O635),O635="TRUE"),"Yes",""),"")</f>
      </c>
      <c r="Q635" s="62" t="s">
        <v>98</v>
      </c>
      <c r="R635" s="63"/>
    </row>
    <row r="636" spans="1:18" s="47" customFormat="1" ht="51">
      <c r="A636" s="63" t="s">
        <v>1346</v>
      </c>
      <c r="B636" s="63" t="s">
        <v>96</v>
      </c>
      <c r="C636" s="63" t="s">
        <v>1347</v>
      </c>
      <c r="D636" s="61"/>
      <c r="E636" s="45">
        <v>0.295</v>
      </c>
      <c r="F636" s="45">
        <v>0.295</v>
      </c>
      <c r="G636" s="66">
        <v>46078</v>
      </c>
      <c r="H636" s="45" t="str">
        <f>IF(ISNUMBER(E636),F636-E636,"N/A")</f>
        <v>N/A</v>
      </c>
      <c r="I636" s="46" t="str">
        <f>IF(E636&lt;&gt;"",IF(F636=E636,"No Change",IF(F636&gt;E636,"Increase","Decrease")),"New")</f>
        <v>Increase</v>
      </c>
      <c r="J636" s="58"/>
      <c r="K636" s="59" t="str">
        <f>IF(LEN(J636)&gt;0,IF(OR(ISLOGICAL(J636),J636="TRUE"),"Yes",""),"")</f>
      </c>
      <c r="L636" s="59"/>
      <c r="M636" s="59"/>
      <c r="N636" s="62" t="str">
        <f>IF(LEN(M636)&gt;0,IF(OR(ISLOGICAL(M636),M636="TRUE"),"Yes",""),"")</f>
      </c>
      <c r="O636" s="59"/>
      <c r="P636" s="62" t="str">
        <f>IF(LEN(O636)&gt;0,IF(OR(ISLOGICAL(O636),O636="TRUE"),"Yes",""),"")</f>
      </c>
      <c r="Q636" s="62" t="s">
        <v>98</v>
      </c>
      <c r="R636" s="63"/>
    </row>
    <row r="637" spans="1:18" s="47" customFormat="1" ht="51">
      <c r="A637" s="63" t="s">
        <v>1348</v>
      </c>
      <c r="B637" s="63" t="s">
        <v>96</v>
      </c>
      <c r="C637" s="63" t="s">
        <v>1349</v>
      </c>
      <c r="D637" s="61"/>
      <c r="E637" s="45">
        <v>0.295</v>
      </c>
      <c r="F637" s="45">
        <v>0.295</v>
      </c>
      <c r="G637" s="66">
        <v>46082</v>
      </c>
      <c r="H637" s="45" t="str">
        <f>IF(ISNUMBER(E637),F637-E637,"N/A")</f>
        <v>N/A</v>
      </c>
      <c r="I637" s="46" t="str">
        <f>IF(E637&lt;&gt;"",IF(F637=E637,"No Change",IF(F637&gt;E637,"Increase","Decrease")),"New")</f>
        <v>Increase</v>
      </c>
      <c r="J637" s="58"/>
      <c r="K637" s="59" t="str">
        <f>IF(LEN(J637)&gt;0,IF(OR(ISLOGICAL(J637),J637="TRUE"),"Yes",""),"")</f>
      </c>
      <c r="L637" s="59"/>
      <c r="M637" s="59"/>
      <c r="N637" s="62" t="str">
        <f>IF(LEN(M637)&gt;0,IF(OR(ISLOGICAL(M637),M637="TRUE"),"Yes",""),"")</f>
      </c>
      <c r="O637" s="59"/>
      <c r="P637" s="62" t="str">
        <f>IF(LEN(O637)&gt;0,IF(OR(ISLOGICAL(O637),O637="TRUE"),"Yes",""),"")</f>
      </c>
      <c r="Q637" s="62" t="s">
        <v>98</v>
      </c>
      <c r="R637" s="63"/>
    </row>
    <row r="638" spans="1:18" s="47" customFormat="1" ht="51">
      <c r="A638" s="63" t="s">
        <v>1350</v>
      </c>
      <c r="B638" s="63" t="s">
        <v>96</v>
      </c>
      <c r="C638" s="63" t="s">
        <v>1351</v>
      </c>
      <c r="D638" s="61"/>
      <c r="E638" s="45">
        <v>0.295</v>
      </c>
      <c r="F638" s="45">
        <v>0.295</v>
      </c>
      <c r="G638" s="66">
        <v>46082</v>
      </c>
      <c r="H638" s="45" t="str">
        <f>IF(ISNUMBER(E638),F638-E638,"N/A")</f>
        <v>N/A</v>
      </c>
      <c r="I638" s="46" t="str">
        <f>IF(E638&lt;&gt;"",IF(F638=E638,"No Change",IF(F638&gt;E638,"Increase","Decrease")),"New")</f>
        <v>Increase</v>
      </c>
      <c r="J638" s="58"/>
      <c r="K638" s="59" t="str">
        <f>IF(LEN(J638)&gt;0,IF(OR(ISLOGICAL(J638),J638="TRUE"),"Yes",""),"")</f>
      </c>
      <c r="L638" s="59"/>
      <c r="M638" s="59"/>
      <c r="N638" s="62" t="str">
        <f>IF(LEN(M638)&gt;0,IF(OR(ISLOGICAL(M638),M638="TRUE"),"Yes",""),"")</f>
      </c>
      <c r="O638" s="59"/>
      <c r="P638" s="62" t="str">
        <f>IF(LEN(O638)&gt;0,IF(OR(ISLOGICAL(O638),O638="TRUE"),"Yes",""),"")</f>
      </c>
      <c r="Q638" s="62" t="s">
        <v>98</v>
      </c>
      <c r="R638" s="63"/>
    </row>
    <row r="639" spans="1:18" s="47" customFormat="1" ht="51">
      <c r="A639" s="63" t="s">
        <v>1352</v>
      </c>
      <c r="B639" s="63" t="s">
        <v>96</v>
      </c>
      <c r="C639" s="63" t="s">
        <v>1353</v>
      </c>
      <c r="D639" s="61"/>
      <c r="E639" s="45">
        <v>0.295</v>
      </c>
      <c r="F639" s="45">
        <v>0.295</v>
      </c>
      <c r="G639" s="66">
        <v>46082</v>
      </c>
      <c r="H639" s="45" t="str">
        <f>IF(ISNUMBER(E639),F639-E639,"N/A")</f>
        <v>N/A</v>
      </c>
      <c r="I639" s="46" t="str">
        <f>IF(E639&lt;&gt;"",IF(F639=E639,"No Change",IF(F639&gt;E639,"Increase","Decrease")),"New")</f>
        <v>Increase</v>
      </c>
      <c r="J639" s="58"/>
      <c r="K639" s="59" t="str">
        <f>IF(LEN(J639)&gt;0,IF(OR(ISLOGICAL(J639),J639="TRUE"),"Yes",""),"")</f>
      </c>
      <c r="L639" s="59"/>
      <c r="M639" s="59"/>
      <c r="N639" s="62" t="str">
        <f>IF(LEN(M639)&gt;0,IF(OR(ISLOGICAL(M639),M639="TRUE"),"Yes",""),"")</f>
      </c>
      <c r="O639" s="59"/>
      <c r="P639" s="62" t="str">
        <f>IF(LEN(O639)&gt;0,IF(OR(ISLOGICAL(O639),O639="TRUE"),"Yes",""),"")</f>
      </c>
      <c r="Q639" s="62" t="s">
        <v>98</v>
      </c>
      <c r="R639" s="63"/>
    </row>
    <row r="640" spans="1:18" s="47" customFormat="1" ht="51">
      <c r="A640" s="63" t="s">
        <v>1354</v>
      </c>
      <c r="B640" s="63" t="s">
        <v>96</v>
      </c>
      <c r="C640" s="63" t="s">
        <v>1355</v>
      </c>
      <c r="D640" s="61"/>
      <c r="E640" s="45">
        <v>0.295</v>
      </c>
      <c r="F640" s="45">
        <v>0.295</v>
      </c>
      <c r="G640" s="66">
        <v>46078</v>
      </c>
      <c r="H640" s="45" t="str">
        <f>IF(ISNUMBER(E640),F640-E640,"N/A")</f>
        <v>N/A</v>
      </c>
      <c r="I640" s="46" t="str">
        <f>IF(E640&lt;&gt;"",IF(F640=E640,"No Change",IF(F640&gt;E640,"Increase","Decrease")),"New")</f>
        <v>Increase</v>
      </c>
      <c r="J640" s="58"/>
      <c r="K640" s="59" t="str">
        <f>IF(LEN(J640)&gt;0,IF(OR(ISLOGICAL(J640),J640="TRUE"),"Yes",""),"")</f>
      </c>
      <c r="L640" s="59"/>
      <c r="M640" s="59"/>
      <c r="N640" s="62" t="str">
        <f>IF(LEN(M640)&gt;0,IF(OR(ISLOGICAL(M640),M640="TRUE"),"Yes",""),"")</f>
      </c>
      <c r="O640" s="59"/>
      <c r="P640" s="62" t="str">
        <f>IF(LEN(O640)&gt;0,IF(OR(ISLOGICAL(O640),O640="TRUE"),"Yes",""),"")</f>
      </c>
      <c r="Q640" s="62" t="s">
        <v>98</v>
      </c>
      <c r="R640" s="63"/>
    </row>
    <row r="641" spans="1:18" s="47" customFormat="1" ht="51">
      <c r="A641" s="63" t="s">
        <v>1356</v>
      </c>
      <c r="B641" s="63" t="s">
        <v>96</v>
      </c>
      <c r="C641" s="63" t="s">
        <v>1357</v>
      </c>
      <c r="D641" s="61"/>
      <c r="E641" s="45">
        <v>0.215</v>
      </c>
      <c r="F641" s="45">
        <v>0.215</v>
      </c>
      <c r="G641" s="66">
        <v>46092</v>
      </c>
      <c r="H641" s="45" t="str">
        <f>IF(ISNUMBER(E641),F641-E641,"N/A")</f>
        <v>N/A</v>
      </c>
      <c r="I641" s="46" t="str">
        <f>IF(E641&lt;&gt;"",IF(F641=E641,"No Change",IF(F641&gt;E641,"Increase","Decrease")),"New")</f>
        <v>Increase</v>
      </c>
      <c r="J641" s="58"/>
      <c r="K641" s="59" t="str">
        <f>IF(LEN(J641)&gt;0,IF(OR(ISLOGICAL(J641),J641="TRUE"),"Yes",""),"")</f>
      </c>
      <c r="L641" s="59"/>
      <c r="M641" s="59"/>
      <c r="N641" s="62" t="str">
        <f>IF(LEN(M641)&gt;0,IF(OR(ISLOGICAL(M641),M641="TRUE"),"Yes",""),"")</f>
      </c>
      <c r="O641" s="59"/>
      <c r="P641" s="62" t="str">
        <f>IF(LEN(O641)&gt;0,IF(OR(ISLOGICAL(O641),O641="TRUE"),"Yes",""),"")</f>
      </c>
      <c r="Q641" s="62" t="s">
        <v>98</v>
      </c>
      <c r="R641" s="63"/>
    </row>
    <row r="642" spans="1:18" s="47" customFormat="1" ht="51">
      <c r="A642" s="63" t="s">
        <v>1358</v>
      </c>
      <c r="B642" s="63" t="s">
        <v>96</v>
      </c>
      <c r="C642" s="63" t="s">
        <v>1359</v>
      </c>
      <c r="D642" s="61"/>
      <c r="E642" s="45">
        <v>0.215</v>
      </c>
      <c r="F642" s="45">
        <v>0.215</v>
      </c>
      <c r="G642" s="66">
        <v>46082</v>
      </c>
      <c r="H642" s="45" t="str">
        <f>IF(ISNUMBER(E642),F642-E642,"N/A")</f>
        <v>N/A</v>
      </c>
      <c r="I642" s="46" t="str">
        <f>IF(E642&lt;&gt;"",IF(F642=E642,"No Change",IF(F642&gt;E642,"Increase","Decrease")),"New")</f>
        <v>Increase</v>
      </c>
      <c r="J642" s="58"/>
      <c r="K642" s="59" t="str">
        <f>IF(LEN(J642)&gt;0,IF(OR(ISLOGICAL(J642),J642="TRUE"),"Yes",""),"")</f>
      </c>
      <c r="L642" s="59"/>
      <c r="M642" s="59"/>
      <c r="N642" s="62" t="str">
        <f>IF(LEN(M642)&gt;0,IF(OR(ISLOGICAL(M642),M642="TRUE"),"Yes",""),"")</f>
      </c>
      <c r="O642" s="59"/>
      <c r="P642" s="62" t="str">
        <f>IF(LEN(O642)&gt;0,IF(OR(ISLOGICAL(O642),O642="TRUE"),"Yes",""),"")</f>
      </c>
      <c r="Q642" s="62" t="s">
        <v>98</v>
      </c>
      <c r="R642" s="63"/>
    </row>
    <row r="643" spans="1:18" s="47" customFormat="1" ht="51">
      <c r="A643" s="63" t="s">
        <v>1360</v>
      </c>
      <c r="B643" s="63" t="s">
        <v>96</v>
      </c>
      <c r="C643" s="63" t="s">
        <v>1361</v>
      </c>
      <c r="D643" s="61"/>
      <c r="E643" s="45">
        <v>0.215</v>
      </c>
      <c r="F643" s="45">
        <v>0.215</v>
      </c>
      <c r="G643" s="66">
        <v>46082</v>
      </c>
      <c r="H643" s="45" t="str">
        <f>IF(ISNUMBER(E643),F643-E643,"N/A")</f>
        <v>N/A</v>
      </c>
      <c r="I643" s="46" t="str">
        <f>IF(E643&lt;&gt;"",IF(F643=E643,"No Change",IF(F643&gt;E643,"Increase","Decrease")),"New")</f>
        <v>Increase</v>
      </c>
      <c r="J643" s="58"/>
      <c r="K643" s="59" t="str">
        <f>IF(LEN(J643)&gt;0,IF(OR(ISLOGICAL(J643),J643="TRUE"),"Yes",""),"")</f>
      </c>
      <c r="L643" s="59"/>
      <c r="M643" s="59"/>
      <c r="N643" s="62" t="str">
        <f>IF(LEN(M643)&gt;0,IF(OR(ISLOGICAL(M643),M643="TRUE"),"Yes",""),"")</f>
      </c>
      <c r="O643" s="59"/>
      <c r="P643" s="62" t="str">
        <f>IF(LEN(O643)&gt;0,IF(OR(ISLOGICAL(O643),O643="TRUE"),"Yes",""),"")</f>
      </c>
      <c r="Q643" s="62" t="s">
        <v>98</v>
      </c>
      <c r="R643" s="63"/>
    </row>
    <row r="644" spans="1:18" s="47" customFormat="1" ht="51">
      <c r="A644" s="63" t="s">
        <v>1362</v>
      </c>
      <c r="B644" s="63" t="s">
        <v>96</v>
      </c>
      <c r="C644" s="63" t="s">
        <v>1363</v>
      </c>
      <c r="D644" s="61"/>
      <c r="E644" s="45">
        <v>0.215</v>
      </c>
      <c r="F644" s="45">
        <v>0.215</v>
      </c>
      <c r="G644" s="66">
        <v>46082</v>
      </c>
      <c r="H644" s="45" t="str">
        <f>IF(ISNUMBER(E644),F644-E644,"N/A")</f>
        <v>N/A</v>
      </c>
      <c r="I644" s="46" t="str">
        <f>IF(E644&lt;&gt;"",IF(F644=E644,"No Change",IF(F644&gt;E644,"Increase","Decrease")),"New")</f>
        <v>Increase</v>
      </c>
      <c r="J644" s="58"/>
      <c r="K644" s="59" t="str">
        <f>IF(LEN(J644)&gt;0,IF(OR(ISLOGICAL(J644),J644="TRUE"),"Yes",""),"")</f>
      </c>
      <c r="L644" s="59"/>
      <c r="M644" s="59"/>
      <c r="N644" s="62" t="str">
        <f>IF(LEN(M644)&gt;0,IF(OR(ISLOGICAL(M644),M644="TRUE"),"Yes",""),"")</f>
      </c>
      <c r="O644" s="59"/>
      <c r="P644" s="62" t="str">
        <f>IF(LEN(O644)&gt;0,IF(OR(ISLOGICAL(O644),O644="TRUE"),"Yes",""),"")</f>
      </c>
      <c r="Q644" s="62" t="s">
        <v>98</v>
      </c>
      <c r="R644" s="63"/>
    </row>
    <row r="645" spans="1:18" s="47" customFormat="1" ht="51">
      <c r="A645" s="63" t="s">
        <v>1364</v>
      </c>
      <c r="B645" s="63" t="s">
        <v>96</v>
      </c>
      <c r="C645" s="63" t="s">
        <v>1365</v>
      </c>
      <c r="D645" s="61"/>
      <c r="E645" s="45">
        <v>0.12</v>
      </c>
      <c r="F645" s="45">
        <v>0.12</v>
      </c>
      <c r="G645" s="66">
        <v>46078</v>
      </c>
      <c r="H645" s="45" t="str">
        <f>IF(ISNUMBER(E645),F645-E645,"N/A")</f>
        <v>N/A</v>
      </c>
      <c r="I645" s="46" t="str">
        <f>IF(E645&lt;&gt;"",IF(F645=E645,"No Change",IF(F645&gt;E645,"Increase","Decrease")),"New")</f>
        <v>Increase</v>
      </c>
      <c r="J645" s="58"/>
      <c r="K645" s="59" t="str">
        <f>IF(LEN(J645)&gt;0,IF(OR(ISLOGICAL(J645),J645="TRUE"),"Yes",""),"")</f>
      </c>
      <c r="L645" s="59"/>
      <c r="M645" s="59"/>
      <c r="N645" s="62" t="str">
        <f>IF(LEN(M645)&gt;0,IF(OR(ISLOGICAL(M645),M645="TRUE"),"Yes",""),"")</f>
      </c>
      <c r="O645" s="59"/>
      <c r="P645" s="62" t="str">
        <f>IF(LEN(O645)&gt;0,IF(OR(ISLOGICAL(O645),O645="TRUE"),"Yes",""),"")</f>
      </c>
      <c r="Q645" s="62" t="s">
        <v>98</v>
      </c>
      <c r="R645" s="63"/>
    </row>
    <row r="646" spans="1:18" s="47" customFormat="1" ht="51">
      <c r="A646" s="63" t="s">
        <v>1366</v>
      </c>
      <c r="B646" s="63" t="s">
        <v>96</v>
      </c>
      <c r="C646" s="63" t="s">
        <v>1367</v>
      </c>
      <c r="D646" s="61"/>
      <c r="E646" s="45">
        <v>0.12</v>
      </c>
      <c r="F646" s="45">
        <v>0.12</v>
      </c>
      <c r="G646" s="66">
        <v>46082</v>
      </c>
      <c r="H646" s="45" t="str">
        <f>IF(ISNUMBER(E646),F646-E646,"N/A")</f>
        <v>N/A</v>
      </c>
      <c r="I646" s="46" t="str">
        <f>IF(E646&lt;&gt;"",IF(F646=E646,"No Change",IF(F646&gt;E646,"Increase","Decrease")),"New")</f>
        <v>Increase</v>
      </c>
      <c r="J646" s="58"/>
      <c r="K646" s="59" t="str">
        <f>IF(LEN(J646)&gt;0,IF(OR(ISLOGICAL(J646),J646="TRUE"),"Yes",""),"")</f>
      </c>
      <c r="L646" s="59"/>
      <c r="M646" s="59"/>
      <c r="N646" s="62" t="str">
        <f>IF(LEN(M646)&gt;0,IF(OR(ISLOGICAL(M646),M646="TRUE"),"Yes",""),"")</f>
      </c>
      <c r="O646" s="59"/>
      <c r="P646" s="62" t="str">
        <f>IF(LEN(O646)&gt;0,IF(OR(ISLOGICAL(O646),O646="TRUE"),"Yes",""),"")</f>
      </c>
      <c r="Q646" s="62" t="s">
        <v>98</v>
      </c>
      <c r="R646" s="63"/>
    </row>
    <row r="647" spans="1:18" s="47" customFormat="1" ht="51">
      <c r="A647" s="63" t="s">
        <v>1368</v>
      </c>
      <c r="B647" s="63" t="s">
        <v>96</v>
      </c>
      <c r="C647" s="63" t="s">
        <v>1369</v>
      </c>
      <c r="D647" s="61"/>
      <c r="E647" s="45">
        <v>0.12</v>
      </c>
      <c r="F647" s="45">
        <v>0.12</v>
      </c>
      <c r="G647" s="66">
        <v>46082</v>
      </c>
      <c r="H647" s="45" t="str">
        <f>IF(ISNUMBER(E647),F647-E647,"N/A")</f>
        <v>N/A</v>
      </c>
      <c r="I647" s="46" t="str">
        <f>IF(E647&lt;&gt;"",IF(F647=E647,"No Change",IF(F647&gt;E647,"Increase","Decrease")),"New")</f>
        <v>Increase</v>
      </c>
      <c r="J647" s="58"/>
      <c r="K647" s="59" t="str">
        <f>IF(LEN(J647)&gt;0,IF(OR(ISLOGICAL(J647),J647="TRUE"),"Yes",""),"")</f>
      </c>
      <c r="L647" s="59"/>
      <c r="M647" s="59"/>
      <c r="N647" s="62" t="str">
        <f>IF(LEN(M647)&gt;0,IF(OR(ISLOGICAL(M647),M647="TRUE"),"Yes",""),"")</f>
      </c>
      <c r="O647" s="59"/>
      <c r="P647" s="62" t="str">
        <f>IF(LEN(O647)&gt;0,IF(OR(ISLOGICAL(O647),O647="TRUE"),"Yes",""),"")</f>
      </c>
      <c r="Q647" s="62" t="s">
        <v>98</v>
      </c>
      <c r="R647" s="63"/>
    </row>
    <row r="648" spans="1:18" s="47" customFormat="1" ht="51">
      <c r="A648" s="63" t="s">
        <v>1370</v>
      </c>
      <c r="B648" s="63" t="s">
        <v>96</v>
      </c>
      <c r="C648" s="63" t="s">
        <v>1371</v>
      </c>
      <c r="D648" s="61"/>
      <c r="E648" s="45">
        <v>0.12</v>
      </c>
      <c r="F648" s="45">
        <v>0.12</v>
      </c>
      <c r="G648" s="66">
        <v>46082</v>
      </c>
      <c r="H648" s="45" t="str">
        <f>IF(ISNUMBER(E648),F648-E648,"N/A")</f>
        <v>N/A</v>
      </c>
      <c r="I648" s="46" t="str">
        <f>IF(E648&lt;&gt;"",IF(F648=E648,"No Change",IF(F648&gt;E648,"Increase","Decrease")),"New")</f>
        <v>Increase</v>
      </c>
      <c r="J648" s="58"/>
      <c r="K648" s="59" t="str">
        <f>IF(LEN(J648)&gt;0,IF(OR(ISLOGICAL(J648),J648="TRUE"),"Yes",""),"")</f>
      </c>
      <c r="L648" s="59"/>
      <c r="M648" s="59"/>
      <c r="N648" s="62" t="str">
        <f>IF(LEN(M648)&gt;0,IF(OR(ISLOGICAL(M648),M648="TRUE"),"Yes",""),"")</f>
      </c>
      <c r="O648" s="59"/>
      <c r="P648" s="62" t="str">
        <f>IF(LEN(O648)&gt;0,IF(OR(ISLOGICAL(O648),O648="TRUE"),"Yes",""),"")</f>
      </c>
      <c r="Q648" s="62" t="s">
        <v>98</v>
      </c>
      <c r="R648" s="63"/>
    </row>
    <row r="649" spans="1:18" s="47" customFormat="1" ht="51">
      <c r="A649" s="63" t="s">
        <v>1372</v>
      </c>
      <c r="B649" s="63" t="s">
        <v>96</v>
      </c>
      <c r="C649" s="63" t="s">
        <v>1373</v>
      </c>
      <c r="D649" s="61"/>
      <c r="E649" s="45">
        <v>0.12</v>
      </c>
      <c r="F649" s="45">
        <v>0.12</v>
      </c>
      <c r="G649" s="66">
        <v>46082</v>
      </c>
      <c r="H649" s="45" t="str">
        <f>IF(ISNUMBER(E649),F649-E649,"N/A")</f>
        <v>N/A</v>
      </c>
      <c r="I649" s="46" t="str">
        <f>IF(E649&lt;&gt;"",IF(F649=E649,"No Change",IF(F649&gt;E649,"Increase","Decrease")),"New")</f>
        <v>Increase</v>
      </c>
      <c r="J649" s="58"/>
      <c r="K649" s="59" t="str">
        <f>IF(LEN(J649)&gt;0,IF(OR(ISLOGICAL(J649),J649="TRUE"),"Yes",""),"")</f>
      </c>
      <c r="L649" s="59"/>
      <c r="M649" s="59"/>
      <c r="N649" s="62" t="str">
        <f>IF(LEN(M649)&gt;0,IF(OR(ISLOGICAL(M649),M649="TRUE"),"Yes",""),"")</f>
      </c>
      <c r="O649" s="59"/>
      <c r="P649" s="62" t="str">
        <f>IF(LEN(O649)&gt;0,IF(OR(ISLOGICAL(O649),O649="TRUE"),"Yes",""),"")</f>
      </c>
      <c r="Q649" s="62" t="s">
        <v>98</v>
      </c>
      <c r="R649" s="63"/>
    </row>
    <row r="650" spans="1:18" s="47" customFormat="1" ht="51">
      <c r="A650" s="63" t="s">
        <v>1374</v>
      </c>
      <c r="B650" s="63" t="s">
        <v>96</v>
      </c>
      <c r="C650" s="63" t="s">
        <v>1375</v>
      </c>
      <c r="D650" s="61"/>
      <c r="E650" s="45">
        <v>0.12</v>
      </c>
      <c r="F650" s="45">
        <v>0.12</v>
      </c>
      <c r="G650" s="66">
        <v>46143</v>
      </c>
      <c r="H650" s="45" t="str">
        <f>IF(ISNUMBER(E650),F650-E650,"N/A")</f>
        <v>N/A</v>
      </c>
      <c r="I650" s="46" t="str">
        <f>IF(E650&lt;&gt;"",IF(F650=E650,"No Change",IF(F650&gt;E650,"Increase","Decrease")),"New")</f>
        <v>Increase</v>
      </c>
      <c r="J650" s="58"/>
      <c r="K650" s="59" t="str">
        <f>IF(LEN(J650)&gt;0,IF(OR(ISLOGICAL(J650),J650="TRUE"),"Yes",""),"")</f>
      </c>
      <c r="L650" s="59"/>
      <c r="M650" s="59"/>
      <c r="N650" s="62" t="str">
        <f>IF(LEN(M650)&gt;0,IF(OR(ISLOGICAL(M650),M650="TRUE"),"Yes",""),"")</f>
      </c>
      <c r="O650" s="59"/>
      <c r="P650" s="62" t="str">
        <f>IF(LEN(O650)&gt;0,IF(OR(ISLOGICAL(O650),O650="TRUE"),"Yes",""),"")</f>
      </c>
      <c r="Q650" s="62" t="s">
        <v>98</v>
      </c>
      <c r="R650" s="63"/>
    </row>
    <row r="651" spans="1:18" s="47" customFormat="1" ht="51">
      <c r="A651" s="63" t="s">
        <v>1376</v>
      </c>
      <c r="B651" s="63" t="s">
        <v>96</v>
      </c>
      <c r="C651" s="63" t="s">
        <v>1377</v>
      </c>
      <c r="D651" s="61"/>
      <c r="E651" s="45">
        <v>0.12</v>
      </c>
      <c r="F651" s="45">
        <v>0.12</v>
      </c>
      <c r="G651" s="66">
        <v>46143</v>
      </c>
      <c r="H651" s="45" t="str">
        <f>IF(ISNUMBER(E651),F651-E651,"N/A")</f>
        <v>N/A</v>
      </c>
      <c r="I651" s="46" t="str">
        <f>IF(E651&lt;&gt;"",IF(F651=E651,"No Change",IF(F651&gt;E651,"Increase","Decrease")),"New")</f>
        <v>Increase</v>
      </c>
      <c r="J651" s="58"/>
      <c r="K651" s="59" t="str">
        <f>IF(LEN(J651)&gt;0,IF(OR(ISLOGICAL(J651),J651="TRUE"),"Yes",""),"")</f>
      </c>
      <c r="L651" s="59"/>
      <c r="M651" s="59"/>
      <c r="N651" s="62" t="str">
        <f>IF(LEN(M651)&gt;0,IF(OR(ISLOGICAL(M651),M651="TRUE"),"Yes",""),"")</f>
      </c>
      <c r="O651" s="59"/>
      <c r="P651" s="62" t="str">
        <f>IF(LEN(O651)&gt;0,IF(OR(ISLOGICAL(O651),O651="TRUE"),"Yes",""),"")</f>
      </c>
      <c r="Q651" s="62" t="s">
        <v>98</v>
      </c>
      <c r="R651" s="63"/>
    </row>
    <row r="652" spans="1:18" s="47" customFormat="1" ht="51">
      <c r="A652" s="63" t="s">
        <v>1378</v>
      </c>
      <c r="B652" s="63" t="s">
        <v>96</v>
      </c>
      <c r="C652" s="63" t="s">
        <v>1379</v>
      </c>
      <c r="D652" s="61"/>
      <c r="E652" s="45">
        <v>0.31</v>
      </c>
      <c r="F652" s="45">
        <v>0.31</v>
      </c>
      <c r="G652" s="66">
        <v>46078</v>
      </c>
      <c r="H652" s="45" t="str">
        <f>IF(ISNUMBER(E652),F652-E652,"N/A")</f>
        <v>N/A</v>
      </c>
      <c r="I652" s="46" t="str">
        <f>IF(E652&lt;&gt;"",IF(F652=E652,"No Change",IF(F652&gt;E652,"Increase","Decrease")),"New")</f>
        <v>Increase</v>
      </c>
      <c r="J652" s="58" t="s">
        <v>122</v>
      </c>
      <c r="K652" s="59" t="str">
        <f>IF(LEN(J652)&gt;0,IF(OR(ISLOGICAL(J652),J652="TRUE"),"Yes",""),"")</f>
      </c>
      <c r="L652" s="59"/>
      <c r="M652" s="59"/>
      <c r="N652" s="62" t="str">
        <f>IF(LEN(M652)&gt;0,IF(OR(ISLOGICAL(M652),M652="TRUE"),"Yes",""),"")</f>
      </c>
      <c r="O652" s="59"/>
      <c r="P652" s="62" t="str">
        <f>IF(LEN(O652)&gt;0,IF(OR(ISLOGICAL(O652),O652="TRUE"),"Yes",""),"")</f>
      </c>
      <c r="Q652" s="62" t="s">
        <v>98</v>
      </c>
      <c r="R652" s="63"/>
    </row>
    <row r="653" spans="1:18" s="47" customFormat="1" ht="51">
      <c r="A653" s="63" t="s">
        <v>1380</v>
      </c>
      <c r="B653" s="63" t="s">
        <v>96</v>
      </c>
      <c r="C653" s="63" t="s">
        <v>1381</v>
      </c>
      <c r="D653" s="61"/>
      <c r="E653" s="45">
        <v>0.31</v>
      </c>
      <c r="F653" s="45">
        <v>0.31</v>
      </c>
      <c r="G653" s="66">
        <v>46078</v>
      </c>
      <c r="H653" s="45" t="str">
        <f>IF(ISNUMBER(E653),F653-E653,"N/A")</f>
        <v>N/A</v>
      </c>
      <c r="I653" s="46" t="str">
        <f>IF(E653&lt;&gt;"",IF(F653=E653,"No Change",IF(F653&gt;E653,"Increase","Decrease")),"New")</f>
        <v>Increase</v>
      </c>
      <c r="J653" s="58" t="s">
        <v>122</v>
      </c>
      <c r="K653" s="59" t="str">
        <f>IF(LEN(J653)&gt;0,IF(OR(ISLOGICAL(J653),J653="TRUE"),"Yes",""),"")</f>
      </c>
      <c r="L653" s="59"/>
      <c r="M653" s="59"/>
      <c r="N653" s="62" t="str">
        <f>IF(LEN(M653)&gt;0,IF(OR(ISLOGICAL(M653),M653="TRUE"),"Yes",""),"")</f>
      </c>
      <c r="O653" s="59"/>
      <c r="P653" s="62" t="str">
        <f>IF(LEN(O653)&gt;0,IF(OR(ISLOGICAL(O653),O653="TRUE"),"Yes",""),"")</f>
      </c>
      <c r="Q653" s="62" t="s">
        <v>98</v>
      </c>
      <c r="R653" s="63"/>
    </row>
    <row r="654" spans="1:18" s="47" customFormat="1" ht="51">
      <c r="A654" s="63" t="s">
        <v>1382</v>
      </c>
      <c r="B654" s="63" t="s">
        <v>96</v>
      </c>
      <c r="C654" s="63" t="s">
        <v>1383</v>
      </c>
      <c r="D654" s="61"/>
      <c r="E654" s="45">
        <v>0.31</v>
      </c>
      <c r="F654" s="45">
        <v>0.31</v>
      </c>
      <c r="G654" s="66">
        <v>46078</v>
      </c>
      <c r="H654" s="45" t="str">
        <f>IF(ISNUMBER(E654),F654-E654,"N/A")</f>
        <v>N/A</v>
      </c>
      <c r="I654" s="46" t="str">
        <f>IF(E654&lt;&gt;"",IF(F654=E654,"No Change",IF(F654&gt;E654,"Increase","Decrease")),"New")</f>
        <v>Increase</v>
      </c>
      <c r="J654" s="58"/>
      <c r="K654" s="59" t="str">
        <f>IF(LEN(J654)&gt;0,IF(OR(ISLOGICAL(J654),J654="TRUE"),"Yes",""),"")</f>
      </c>
      <c r="L654" s="59"/>
      <c r="M654" s="59"/>
      <c r="N654" s="62" t="str">
        <f>IF(LEN(M654)&gt;0,IF(OR(ISLOGICAL(M654),M654="TRUE"),"Yes",""),"")</f>
      </c>
      <c r="O654" s="59"/>
      <c r="P654" s="62" t="str">
        <f>IF(LEN(O654)&gt;0,IF(OR(ISLOGICAL(O654),O654="TRUE"),"Yes",""),"")</f>
      </c>
      <c r="Q654" s="62" t="s">
        <v>98</v>
      </c>
      <c r="R654" s="63"/>
    </row>
    <row r="655" spans="1:18" s="47" customFormat="1" ht="51">
      <c r="A655" s="63" t="s">
        <v>1384</v>
      </c>
      <c r="B655" s="63" t="s">
        <v>96</v>
      </c>
      <c r="C655" s="63" t="s">
        <v>1385</v>
      </c>
      <c r="D655" s="61"/>
      <c r="E655" s="45">
        <v>0.31</v>
      </c>
      <c r="F655" s="45">
        <v>0.31</v>
      </c>
      <c r="G655" s="66">
        <v>46078</v>
      </c>
      <c r="H655" s="45" t="str">
        <f>IF(ISNUMBER(E655),F655-E655,"N/A")</f>
        <v>N/A</v>
      </c>
      <c r="I655" s="46" t="str">
        <f>IF(E655&lt;&gt;"",IF(F655=E655,"No Change",IF(F655&gt;E655,"Increase","Decrease")),"New")</f>
        <v>Increase</v>
      </c>
      <c r="J655" s="58" t="s">
        <v>122</v>
      </c>
      <c r="K655" s="59" t="str">
        <f>IF(LEN(J655)&gt;0,IF(OR(ISLOGICAL(J655),J655="TRUE"),"Yes",""),"")</f>
      </c>
      <c r="L655" s="59"/>
      <c r="M655" s="59"/>
      <c r="N655" s="62" t="str">
        <f>IF(LEN(M655)&gt;0,IF(OR(ISLOGICAL(M655),M655="TRUE"),"Yes",""),"")</f>
      </c>
      <c r="O655" s="59"/>
      <c r="P655" s="62" t="str">
        <f>IF(LEN(O655)&gt;0,IF(OR(ISLOGICAL(O655),O655="TRUE"),"Yes",""),"")</f>
      </c>
      <c r="Q655" s="62" t="s">
        <v>98</v>
      </c>
      <c r="R655" s="63"/>
    </row>
    <row r="656" spans="1:18" s="47" customFormat="1" ht="51">
      <c r="A656" s="63" t="s">
        <v>1386</v>
      </c>
      <c r="B656" s="63" t="s">
        <v>96</v>
      </c>
      <c r="C656" s="63" t="s">
        <v>1387</v>
      </c>
      <c r="D656" s="61"/>
      <c r="E656" s="45">
        <v>0.31</v>
      </c>
      <c r="F656" s="45">
        <v>0.31</v>
      </c>
      <c r="G656" s="66">
        <v>46143</v>
      </c>
      <c r="H656" s="45" t="str">
        <f>IF(ISNUMBER(E656),F656-E656,"N/A")</f>
        <v>N/A</v>
      </c>
      <c r="I656" s="46" t="str">
        <f>IF(E656&lt;&gt;"",IF(F656=E656,"No Change",IF(F656&gt;E656,"Increase","Decrease")),"New")</f>
        <v>Increase</v>
      </c>
      <c r="J656" s="58"/>
      <c r="K656" s="59" t="str">
        <f>IF(LEN(J656)&gt;0,IF(OR(ISLOGICAL(J656),J656="TRUE"),"Yes",""),"")</f>
      </c>
      <c r="L656" s="59"/>
      <c r="M656" s="59"/>
      <c r="N656" s="62" t="str">
        <f>IF(LEN(M656)&gt;0,IF(OR(ISLOGICAL(M656),M656="TRUE"),"Yes",""),"")</f>
      </c>
      <c r="O656" s="59"/>
      <c r="P656" s="62" t="str">
        <f>IF(LEN(O656)&gt;0,IF(OR(ISLOGICAL(O656),O656="TRUE"),"Yes",""),"")</f>
      </c>
      <c r="Q656" s="62" t="s">
        <v>98</v>
      </c>
      <c r="R656" s="63"/>
    </row>
    <row r="657" spans="1:18" s="47" customFormat="1" ht="51">
      <c r="A657" s="63" t="s">
        <v>1388</v>
      </c>
      <c r="B657" s="63" t="s">
        <v>96</v>
      </c>
      <c r="C657" s="63" t="s">
        <v>1389</v>
      </c>
      <c r="D657" s="61"/>
      <c r="E657" s="45">
        <v>0.31</v>
      </c>
      <c r="F657" s="45">
        <v>0.31</v>
      </c>
      <c r="G657" s="66">
        <v>46082</v>
      </c>
      <c r="H657" s="45" t="str">
        <f>IF(ISNUMBER(E657),F657-E657,"N/A")</f>
        <v>N/A</v>
      </c>
      <c r="I657" s="46" t="str">
        <f>IF(E657&lt;&gt;"",IF(F657=E657,"No Change",IF(F657&gt;E657,"Increase","Decrease")),"New")</f>
        <v>Increase</v>
      </c>
      <c r="J657" s="58"/>
      <c r="K657" s="59" t="str">
        <f>IF(LEN(J657)&gt;0,IF(OR(ISLOGICAL(J657),J657="TRUE"),"Yes",""),"")</f>
      </c>
      <c r="L657" s="59"/>
      <c r="M657" s="59"/>
      <c r="N657" s="62" t="str">
        <f>IF(LEN(M657)&gt;0,IF(OR(ISLOGICAL(M657),M657="TRUE"),"Yes",""),"")</f>
      </c>
      <c r="O657" s="59"/>
      <c r="P657" s="62" t="str">
        <f>IF(LEN(O657)&gt;0,IF(OR(ISLOGICAL(O657),O657="TRUE"),"Yes",""),"")</f>
      </c>
      <c r="Q657" s="62" t="s">
        <v>98</v>
      </c>
      <c r="R657" s="63"/>
    </row>
    <row r="658" spans="1:18" s="47" customFormat="1" ht="51">
      <c r="A658" s="63" t="s">
        <v>1390</v>
      </c>
      <c r="B658" s="63" t="s">
        <v>96</v>
      </c>
      <c r="C658" s="63" t="s">
        <v>1391</v>
      </c>
      <c r="D658" s="61"/>
      <c r="E658" s="45">
        <v>0.1525</v>
      </c>
      <c r="F658" s="45">
        <v>0.1525</v>
      </c>
      <c r="G658" s="66">
        <v>46085</v>
      </c>
      <c r="H658" s="45" t="str">
        <f>IF(ISNUMBER(E658),F658-E658,"N/A")</f>
        <v>N/A</v>
      </c>
      <c r="I658" s="46" t="str">
        <f>IF(E658&lt;&gt;"",IF(F658=E658,"No Change",IF(F658&gt;E658,"Increase","Decrease")),"New")</f>
        <v>Increase</v>
      </c>
      <c r="J658" s="58"/>
      <c r="K658" s="59" t="str">
        <f>IF(LEN(J658)&gt;0,IF(OR(ISLOGICAL(J658),J658="TRUE"),"Yes",""),"")</f>
      </c>
      <c r="L658" s="59"/>
      <c r="M658" s="59"/>
      <c r="N658" s="62" t="str">
        <f>IF(LEN(M658)&gt;0,IF(OR(ISLOGICAL(M658),M658="TRUE"),"Yes",""),"")</f>
      </c>
      <c r="O658" s="59"/>
      <c r="P658" s="62" t="str">
        <f>IF(LEN(O658)&gt;0,IF(OR(ISLOGICAL(O658),O658="TRUE"),"Yes",""),"")</f>
      </c>
      <c r="Q658" s="62" t="s">
        <v>98</v>
      </c>
      <c r="R658" s="63"/>
    </row>
    <row r="659" spans="1:18" s="47" customFormat="1" ht="51">
      <c r="A659" s="63" t="s">
        <v>1392</v>
      </c>
      <c r="B659" s="63" t="s">
        <v>96</v>
      </c>
      <c r="C659" s="63" t="s">
        <v>1393</v>
      </c>
      <c r="D659" s="61"/>
      <c r="E659" s="45">
        <v>0.15</v>
      </c>
      <c r="F659" s="45">
        <v>0.15</v>
      </c>
      <c r="G659" s="66">
        <v>46082</v>
      </c>
      <c r="H659" s="45" t="str">
        <f>IF(ISNUMBER(E659),F659-E659,"N/A")</f>
        <v>N/A</v>
      </c>
      <c r="I659" s="46" t="str">
        <f>IF(E659&lt;&gt;"",IF(F659=E659,"No Change",IF(F659&gt;E659,"Increase","Decrease")),"New")</f>
        <v>Increase</v>
      </c>
      <c r="J659" s="58"/>
      <c r="K659" s="59" t="str">
        <f>IF(LEN(J659)&gt;0,IF(OR(ISLOGICAL(J659),J659="TRUE"),"Yes",""),"")</f>
      </c>
      <c r="L659" s="59"/>
      <c r="M659" s="59"/>
      <c r="N659" s="62" t="str">
        <f>IF(LEN(M659)&gt;0,IF(OR(ISLOGICAL(M659),M659="TRUE"),"Yes",""),"")</f>
      </c>
      <c r="O659" s="59"/>
      <c r="P659" s="62" t="str">
        <f>IF(LEN(O659)&gt;0,IF(OR(ISLOGICAL(O659),O659="TRUE"),"Yes",""),"")</f>
      </c>
      <c r="Q659" s="62" t="s">
        <v>98</v>
      </c>
      <c r="R659" s="63"/>
    </row>
    <row r="660" spans="1:18" s="47" customFormat="1" ht="51">
      <c r="A660" s="63" t="s">
        <v>1394</v>
      </c>
      <c r="B660" s="63" t="s">
        <v>96</v>
      </c>
      <c r="C660" s="63" t="s">
        <v>1395</v>
      </c>
      <c r="D660" s="61"/>
      <c r="E660" s="45">
        <v>0.15</v>
      </c>
      <c r="F660" s="45">
        <v>0.15</v>
      </c>
      <c r="G660" s="66">
        <v>46082</v>
      </c>
      <c r="H660" s="45" t="str">
        <f>IF(ISNUMBER(E660),F660-E660,"N/A")</f>
        <v>N/A</v>
      </c>
      <c r="I660" s="46" t="str">
        <f>IF(E660&lt;&gt;"",IF(F660=E660,"No Change",IF(F660&gt;E660,"Increase","Decrease")),"New")</f>
        <v>Increase</v>
      </c>
      <c r="J660" s="58"/>
      <c r="K660" s="59" t="str">
        <f>IF(LEN(J660)&gt;0,IF(OR(ISLOGICAL(J660),J660="TRUE"),"Yes",""),"")</f>
      </c>
      <c r="L660" s="59"/>
      <c r="M660" s="59"/>
      <c r="N660" s="62" t="str">
        <f>IF(LEN(M660)&gt;0,IF(OR(ISLOGICAL(M660),M660="TRUE"),"Yes",""),"")</f>
      </c>
      <c r="O660" s="59"/>
      <c r="P660" s="62" t="str">
        <f>IF(LEN(O660)&gt;0,IF(OR(ISLOGICAL(O660),O660="TRUE"),"Yes",""),"")</f>
      </c>
      <c r="Q660" s="62" t="s">
        <v>98</v>
      </c>
      <c r="R660" s="63"/>
    </row>
    <row r="661" spans="1:18" s="47" customFormat="1" ht="51">
      <c r="A661" s="63" t="s">
        <v>1396</v>
      </c>
      <c r="B661" s="63" t="s">
        <v>96</v>
      </c>
      <c r="C661" s="63" t="s">
        <v>1397</v>
      </c>
      <c r="D661" s="61"/>
      <c r="E661" s="45">
        <v>0.155</v>
      </c>
      <c r="F661" s="45">
        <v>0.155</v>
      </c>
      <c r="G661" s="66">
        <v>46085</v>
      </c>
      <c r="H661" s="45" t="str">
        <f>IF(ISNUMBER(E661),F661-E661,"N/A")</f>
        <v>N/A</v>
      </c>
      <c r="I661" s="46" t="str">
        <f>IF(E661&lt;&gt;"",IF(F661=E661,"No Change",IF(F661&gt;E661,"Increase","Decrease")),"New")</f>
        <v>Increase</v>
      </c>
      <c r="J661" s="58" t="s">
        <v>122</v>
      </c>
      <c r="K661" s="59" t="str">
        <f>IF(LEN(J661)&gt;0,IF(OR(ISLOGICAL(J661),J661="TRUE"),"Yes",""),"")</f>
      </c>
      <c r="L661" s="59"/>
      <c r="M661" s="59"/>
      <c r="N661" s="62" t="str">
        <f>IF(LEN(M661)&gt;0,IF(OR(ISLOGICAL(M661),M661="TRUE"),"Yes",""),"")</f>
      </c>
      <c r="O661" s="59"/>
      <c r="P661" s="62" t="str">
        <f>IF(LEN(O661)&gt;0,IF(OR(ISLOGICAL(O661),O661="TRUE"),"Yes",""),"")</f>
      </c>
      <c r="Q661" s="62" t="s">
        <v>98</v>
      </c>
      <c r="R661" s="63"/>
    </row>
    <row r="662" spans="1:18" s="47" customFormat="1" ht="51">
      <c r="A662" s="63" t="s">
        <v>1398</v>
      </c>
      <c r="B662" s="63" t="s">
        <v>96</v>
      </c>
      <c r="C662" s="63" t="s">
        <v>1399</v>
      </c>
      <c r="D662" s="61"/>
      <c r="E662" s="45">
        <v>0.15</v>
      </c>
      <c r="F662" s="45">
        <v>0.15</v>
      </c>
      <c r="G662" s="66">
        <v>46082</v>
      </c>
      <c r="H662" s="45" t="str">
        <f>IF(ISNUMBER(E662),F662-E662,"N/A")</f>
        <v>N/A</v>
      </c>
      <c r="I662" s="46" t="str">
        <f>IF(E662&lt;&gt;"",IF(F662=E662,"No Change",IF(F662&gt;E662,"Increase","Decrease")),"New")</f>
        <v>Increase</v>
      </c>
      <c r="J662" s="58"/>
      <c r="K662" s="59" t="str">
        <f>IF(LEN(J662)&gt;0,IF(OR(ISLOGICAL(J662),J662="TRUE"),"Yes",""),"")</f>
      </c>
      <c r="L662" s="59"/>
      <c r="M662" s="59"/>
      <c r="N662" s="62" t="str">
        <f>IF(LEN(M662)&gt;0,IF(OR(ISLOGICAL(M662),M662="TRUE"),"Yes",""),"")</f>
      </c>
      <c r="O662" s="59"/>
      <c r="P662" s="62" t="str">
        <f>IF(LEN(O662)&gt;0,IF(OR(ISLOGICAL(O662),O662="TRUE"),"Yes",""),"")</f>
      </c>
      <c r="Q662" s="62" t="s">
        <v>98</v>
      </c>
      <c r="R662" s="63"/>
    </row>
    <row r="663" spans="1:18" s="47" customFormat="1" ht="51">
      <c r="A663" s="63" t="s">
        <v>1400</v>
      </c>
      <c r="B663" s="63" t="s">
        <v>96</v>
      </c>
      <c r="C663" s="63" t="s">
        <v>1401</v>
      </c>
      <c r="D663" s="61"/>
      <c r="E663" s="45">
        <v>0.15</v>
      </c>
      <c r="F663" s="45">
        <v>0.15</v>
      </c>
      <c r="G663" s="66">
        <v>46082</v>
      </c>
      <c r="H663" s="45" t="str">
        <f>IF(ISNUMBER(E663),F663-E663,"N/A")</f>
        <v>N/A</v>
      </c>
      <c r="I663" s="46" t="str">
        <f>IF(E663&lt;&gt;"",IF(F663=E663,"No Change",IF(F663&gt;E663,"Increase","Decrease")),"New")</f>
        <v>Increase</v>
      </c>
      <c r="J663" s="58"/>
      <c r="K663" s="59" t="str">
        <f>IF(LEN(J663)&gt;0,IF(OR(ISLOGICAL(J663),J663="TRUE"),"Yes",""),"")</f>
      </c>
      <c r="L663" s="59"/>
      <c r="M663" s="59"/>
      <c r="N663" s="62" t="str">
        <f>IF(LEN(M663)&gt;0,IF(OR(ISLOGICAL(M663),M663="TRUE"),"Yes",""),"")</f>
      </c>
      <c r="O663" s="59"/>
      <c r="P663" s="62" t="str">
        <f>IF(LEN(O663)&gt;0,IF(OR(ISLOGICAL(O663),O663="TRUE"),"Yes",""),"")</f>
      </c>
      <c r="Q663" s="62" t="s">
        <v>98</v>
      </c>
      <c r="R663" s="63"/>
    </row>
    <row r="664" spans="1:18" s="47" customFormat="1" ht="51">
      <c r="A664" s="63" t="s">
        <v>1402</v>
      </c>
      <c r="B664" s="63" t="s">
        <v>96</v>
      </c>
      <c r="C664" s="63" t="s">
        <v>1403</v>
      </c>
      <c r="D664" s="61"/>
      <c r="E664" s="45">
        <v>0.15</v>
      </c>
      <c r="F664" s="45">
        <v>0.15</v>
      </c>
      <c r="G664" s="66">
        <v>46078</v>
      </c>
      <c r="H664" s="45" t="str">
        <f>IF(ISNUMBER(E664),F664-E664,"N/A")</f>
        <v>N/A</v>
      </c>
      <c r="I664" s="46" t="str">
        <f>IF(E664&lt;&gt;"",IF(F664=E664,"No Change",IF(F664&gt;E664,"Increase","Decrease")),"New")</f>
        <v>Increase</v>
      </c>
      <c r="J664" s="58" t="s">
        <v>122</v>
      </c>
      <c r="K664" s="59" t="str">
        <f>IF(LEN(J664)&gt;0,IF(OR(ISLOGICAL(J664),J664="TRUE"),"Yes",""),"")</f>
      </c>
      <c r="L664" s="59"/>
      <c r="M664" s="59"/>
      <c r="N664" s="62" t="str">
        <f>IF(LEN(M664)&gt;0,IF(OR(ISLOGICAL(M664),M664="TRUE"),"Yes",""),"")</f>
      </c>
      <c r="O664" s="59"/>
      <c r="P664" s="62" t="str">
        <f>IF(LEN(O664)&gt;0,IF(OR(ISLOGICAL(O664),O664="TRUE"),"Yes",""),"")</f>
      </c>
      <c r="Q664" s="62" t="s">
        <v>98</v>
      </c>
      <c r="R664" s="63"/>
    </row>
    <row r="665" spans="1:18" s="47" customFormat="1" ht="51">
      <c r="A665" s="63" t="s">
        <v>1404</v>
      </c>
      <c r="B665" s="63" t="s">
        <v>96</v>
      </c>
      <c r="C665" s="63" t="s">
        <v>1405</v>
      </c>
      <c r="D665" s="61"/>
      <c r="E665" s="45">
        <v>0.15</v>
      </c>
      <c r="F665" s="45">
        <v>0.15</v>
      </c>
      <c r="G665" s="66">
        <v>46078</v>
      </c>
      <c r="H665" s="45" t="str">
        <f>IF(ISNUMBER(E665),F665-E665,"N/A")</f>
        <v>N/A</v>
      </c>
      <c r="I665" s="46" t="str">
        <f>IF(E665&lt;&gt;"",IF(F665=E665,"No Change",IF(F665&gt;E665,"Increase","Decrease")),"New")</f>
        <v>Increase</v>
      </c>
      <c r="J665" s="58"/>
      <c r="K665" s="59" t="str">
        <f>IF(LEN(J665)&gt;0,IF(OR(ISLOGICAL(J665),J665="TRUE"),"Yes",""),"")</f>
      </c>
      <c r="L665" s="59"/>
      <c r="M665" s="59"/>
      <c r="N665" s="62" t="str">
        <f>IF(LEN(M665)&gt;0,IF(OR(ISLOGICAL(M665),M665="TRUE"),"Yes",""),"")</f>
      </c>
      <c r="O665" s="59"/>
      <c r="P665" s="62" t="str">
        <f>IF(LEN(O665)&gt;0,IF(OR(ISLOGICAL(O665),O665="TRUE"),"Yes",""),"")</f>
      </c>
      <c r="Q665" s="62" t="s">
        <v>98</v>
      </c>
      <c r="R665" s="63"/>
    </row>
    <row r="666" spans="1:18" s="47" customFormat="1" ht="51">
      <c r="A666" s="63" t="s">
        <v>1406</v>
      </c>
      <c r="B666" s="63" t="s">
        <v>96</v>
      </c>
      <c r="C666" s="63" t="s">
        <v>1407</v>
      </c>
      <c r="D666" s="61"/>
      <c r="E666" s="45">
        <v>0.18</v>
      </c>
      <c r="F666" s="45">
        <v>0.18</v>
      </c>
      <c r="G666" s="66">
        <v>46134</v>
      </c>
      <c r="H666" s="45" t="str">
        <f>IF(ISNUMBER(E666),F666-E666,"N/A")</f>
        <v>N/A</v>
      </c>
      <c r="I666" s="46" t="str">
        <f>IF(E666&lt;&gt;"",IF(F666=E666,"No Change",IF(F666&gt;E666,"Increase","Decrease")),"New")</f>
        <v>Increase</v>
      </c>
      <c r="J666" s="58"/>
      <c r="K666" s="59" t="str">
        <f>IF(LEN(J666)&gt;0,IF(OR(ISLOGICAL(J666),J666="TRUE"),"Yes",""),"")</f>
      </c>
      <c r="L666" s="59"/>
      <c r="M666" s="59"/>
      <c r="N666" s="62" t="str">
        <f>IF(LEN(M666)&gt;0,IF(OR(ISLOGICAL(M666),M666="TRUE"),"Yes",""),"")</f>
      </c>
      <c r="O666" s="59"/>
      <c r="P666" s="62" t="str">
        <f>IF(LEN(O666)&gt;0,IF(OR(ISLOGICAL(O666),O666="TRUE"),"Yes",""),"")</f>
      </c>
      <c r="Q666" s="62" t="s">
        <v>104</v>
      </c>
      <c r="R666" s="63"/>
    </row>
    <row r="667" spans="1:18" s="47" customFormat="1" ht="51">
      <c r="A667" s="63" t="s">
        <v>1408</v>
      </c>
      <c r="B667" s="63" t="s">
        <v>96</v>
      </c>
      <c r="C667" s="63" t="s">
        <v>1409</v>
      </c>
      <c r="D667" s="61"/>
      <c r="E667" s="45">
        <v>0.18</v>
      </c>
      <c r="F667" s="45">
        <v>0.18</v>
      </c>
      <c r="G667" s="66">
        <v>46134</v>
      </c>
      <c r="H667" s="45" t="str">
        <f>IF(ISNUMBER(E667),F667-E667,"N/A")</f>
        <v>N/A</v>
      </c>
      <c r="I667" s="46" t="str">
        <f>IF(E667&lt;&gt;"",IF(F667=E667,"No Change",IF(F667&gt;E667,"Increase","Decrease")),"New")</f>
        <v>Increase</v>
      </c>
      <c r="J667" s="58"/>
      <c r="K667" s="59" t="str">
        <f>IF(LEN(J667)&gt;0,IF(OR(ISLOGICAL(J667),J667="TRUE"),"Yes",""),"")</f>
      </c>
      <c r="L667" s="59"/>
      <c r="M667" s="59"/>
      <c r="N667" s="62" t="str">
        <f>IF(LEN(M667)&gt;0,IF(OR(ISLOGICAL(M667),M667="TRUE"),"Yes",""),"")</f>
      </c>
      <c r="O667" s="59"/>
      <c r="P667" s="62" t="str">
        <f>IF(LEN(O667)&gt;0,IF(OR(ISLOGICAL(O667),O667="TRUE"),"Yes",""),"")</f>
      </c>
      <c r="Q667" s="62" t="s">
        <v>104</v>
      </c>
      <c r="R667" s="63"/>
    </row>
    <row r="668" spans="1:18" s="47" customFormat="1" ht="51">
      <c r="A668" s="63" t="s">
        <v>1410</v>
      </c>
      <c r="B668" s="63" t="s">
        <v>96</v>
      </c>
      <c r="C668" s="63" t="s">
        <v>1411</v>
      </c>
      <c r="D668" s="61"/>
      <c r="E668" s="45">
        <v>0.45</v>
      </c>
      <c r="F668" s="45">
        <v>0.45</v>
      </c>
      <c r="G668" s="66">
        <v>46092</v>
      </c>
      <c r="H668" s="45" t="str">
        <f>IF(ISNUMBER(E668),F668-E668,"N/A")</f>
        <v>N/A</v>
      </c>
      <c r="I668" s="46" t="str">
        <f>IF(E668&lt;&gt;"",IF(F668=E668,"No Change",IF(F668&gt;E668,"Increase","Decrease")),"New")</f>
        <v>Increase</v>
      </c>
      <c r="J668" s="58"/>
      <c r="K668" s="59" t="str">
        <f>IF(LEN(J668)&gt;0,IF(OR(ISLOGICAL(J668),J668="TRUE"),"Yes",""),"")</f>
      </c>
      <c r="L668" s="59"/>
      <c r="M668" s="59"/>
      <c r="N668" s="62" t="str">
        <f>IF(LEN(M668)&gt;0,IF(OR(ISLOGICAL(M668),M668="TRUE"),"Yes",""),"")</f>
      </c>
      <c r="O668" s="59"/>
      <c r="P668" s="62" t="str">
        <f>IF(LEN(O668)&gt;0,IF(OR(ISLOGICAL(O668),O668="TRUE"),"Yes",""),"")</f>
      </c>
      <c r="Q668" s="62" t="s">
        <v>98</v>
      </c>
      <c r="R668" s="63"/>
    </row>
    <row r="669" spans="1:18" s="47" customFormat="1" ht="51">
      <c r="A669" s="63" t="s">
        <v>1412</v>
      </c>
      <c r="B669" s="63" t="s">
        <v>96</v>
      </c>
      <c r="C669" s="63" t="s">
        <v>1413</v>
      </c>
      <c r="D669" s="61"/>
      <c r="E669" s="45">
        <v>0.45</v>
      </c>
      <c r="F669" s="45">
        <v>0.45</v>
      </c>
      <c r="G669" s="66">
        <v>46085</v>
      </c>
      <c r="H669" s="45" t="str">
        <f>IF(ISNUMBER(E669),F669-E669,"N/A")</f>
        <v>N/A</v>
      </c>
      <c r="I669" s="46" t="str">
        <f>IF(E669&lt;&gt;"",IF(F669=E669,"No Change",IF(F669&gt;E669,"Increase","Decrease")),"New")</f>
        <v>Increase</v>
      </c>
      <c r="J669" s="58"/>
      <c r="K669" s="59" t="str">
        <f>IF(LEN(J669)&gt;0,IF(OR(ISLOGICAL(J669),J669="TRUE"),"Yes",""),"")</f>
      </c>
      <c r="L669" s="59"/>
      <c r="M669" s="59"/>
      <c r="N669" s="62" t="str">
        <f>IF(LEN(M669)&gt;0,IF(OR(ISLOGICAL(M669),M669="TRUE"),"Yes",""),"")</f>
      </c>
      <c r="O669" s="59"/>
      <c r="P669" s="62" t="str">
        <f>IF(LEN(O669)&gt;0,IF(OR(ISLOGICAL(O669),O669="TRUE"),"Yes",""),"")</f>
      </c>
      <c r="Q669" s="62" t="s">
        <v>98</v>
      </c>
      <c r="R669" s="63"/>
    </row>
    <row r="670" spans="1:18" s="47" customFormat="1" ht="51">
      <c r="A670" s="63" t="s">
        <v>1414</v>
      </c>
      <c r="B670" s="63" t="s">
        <v>96</v>
      </c>
      <c r="C670" s="63" t="s">
        <v>1415</v>
      </c>
      <c r="D670" s="61"/>
      <c r="E670" s="45">
        <v>0.45</v>
      </c>
      <c r="F670" s="45">
        <v>0.45</v>
      </c>
      <c r="G670" s="66">
        <v>46085</v>
      </c>
      <c r="H670" s="45" t="str">
        <f>IF(ISNUMBER(E670),F670-E670,"N/A")</f>
        <v>N/A</v>
      </c>
      <c r="I670" s="46" t="str">
        <f>IF(E670&lt;&gt;"",IF(F670=E670,"No Change",IF(F670&gt;E670,"Increase","Decrease")),"New")</f>
        <v>Increase</v>
      </c>
      <c r="J670" s="58"/>
      <c r="K670" s="59" t="str">
        <f>IF(LEN(J670)&gt;0,IF(OR(ISLOGICAL(J670),J670="TRUE"),"Yes",""),"")</f>
      </c>
      <c r="L670" s="59"/>
      <c r="M670" s="59"/>
      <c r="N670" s="62" t="str">
        <f>IF(LEN(M670)&gt;0,IF(OR(ISLOGICAL(M670),M670="TRUE"),"Yes",""),"")</f>
      </c>
      <c r="O670" s="59"/>
      <c r="P670" s="62" t="str">
        <f>IF(LEN(O670)&gt;0,IF(OR(ISLOGICAL(O670),O670="TRUE"),"Yes",""),"")</f>
      </c>
      <c r="Q670" s="62" t="s">
        <v>98</v>
      </c>
      <c r="R670" s="63"/>
    </row>
    <row r="671" spans="1:18" s="47" customFormat="1" ht="51">
      <c r="A671" s="63" t="s">
        <v>1416</v>
      </c>
      <c r="B671" s="63" t="s">
        <v>96</v>
      </c>
      <c r="C671" s="63" t="s">
        <v>1417</v>
      </c>
      <c r="D671" s="61"/>
      <c r="E671" s="45">
        <v>0.45</v>
      </c>
      <c r="F671" s="45">
        <v>0.45</v>
      </c>
      <c r="G671" s="66">
        <v>46085</v>
      </c>
      <c r="H671" s="45" t="str">
        <f>IF(ISNUMBER(E671),F671-E671,"N/A")</f>
        <v>N/A</v>
      </c>
      <c r="I671" s="46" t="str">
        <f>IF(E671&lt;&gt;"",IF(F671=E671,"No Change",IF(F671&gt;E671,"Increase","Decrease")),"New")</f>
        <v>Increase</v>
      </c>
      <c r="J671" s="58" t="s">
        <v>122</v>
      </c>
      <c r="K671" s="59" t="str">
        <f>IF(LEN(J671)&gt;0,IF(OR(ISLOGICAL(J671),J671="TRUE"),"Yes",""),"")</f>
      </c>
      <c r="L671" s="59"/>
      <c r="M671" s="59"/>
      <c r="N671" s="62" t="str">
        <f>IF(LEN(M671)&gt;0,IF(OR(ISLOGICAL(M671),M671="TRUE"),"Yes",""),"")</f>
      </c>
      <c r="O671" s="59"/>
      <c r="P671" s="62" t="str">
        <f>IF(LEN(O671)&gt;0,IF(OR(ISLOGICAL(O671),O671="TRUE"),"Yes",""),"")</f>
      </c>
      <c r="Q671" s="62" t="s">
        <v>98</v>
      </c>
      <c r="R671" s="63"/>
    </row>
    <row r="672" spans="1:18" s="47" customFormat="1" ht="51">
      <c r="A672" s="63" t="s">
        <v>1418</v>
      </c>
      <c r="B672" s="63" t="s">
        <v>96</v>
      </c>
      <c r="C672" s="63" t="s">
        <v>1419</v>
      </c>
      <c r="D672" s="61"/>
      <c r="E672" s="45">
        <v>0.45</v>
      </c>
      <c r="F672" s="45">
        <v>0.45</v>
      </c>
      <c r="G672" s="66">
        <v>46085</v>
      </c>
      <c r="H672" s="45" t="str">
        <f>IF(ISNUMBER(E672),F672-E672,"N/A")</f>
        <v>N/A</v>
      </c>
      <c r="I672" s="46" t="str">
        <f>IF(E672&lt;&gt;"",IF(F672=E672,"No Change",IF(F672&gt;E672,"Increase","Decrease")),"New")</f>
        <v>Increase</v>
      </c>
      <c r="J672" s="58" t="s">
        <v>122</v>
      </c>
      <c r="K672" s="59" t="str">
        <f>IF(LEN(J672)&gt;0,IF(OR(ISLOGICAL(J672),J672="TRUE"),"Yes",""),"")</f>
      </c>
      <c r="L672" s="59"/>
      <c r="M672" s="59"/>
      <c r="N672" s="62" t="str">
        <f>IF(LEN(M672)&gt;0,IF(OR(ISLOGICAL(M672),M672="TRUE"),"Yes",""),"")</f>
      </c>
      <c r="O672" s="59"/>
      <c r="P672" s="62" t="str">
        <f>IF(LEN(O672)&gt;0,IF(OR(ISLOGICAL(O672),O672="TRUE"),"Yes",""),"")</f>
      </c>
      <c r="Q672" s="62" t="s">
        <v>98</v>
      </c>
      <c r="R672" s="63"/>
    </row>
    <row r="673" spans="1:18" s="47" customFormat="1" ht="51">
      <c r="A673" s="63" t="s">
        <v>1420</v>
      </c>
      <c r="B673" s="63" t="s">
        <v>96</v>
      </c>
      <c r="C673" s="63" t="s">
        <v>1421</v>
      </c>
      <c r="D673" s="61"/>
      <c r="E673" s="45">
        <v>0.4875</v>
      </c>
      <c r="F673" s="45">
        <v>0.4875</v>
      </c>
      <c r="G673" s="66">
        <v>46085</v>
      </c>
      <c r="H673" s="45" t="str">
        <f>IF(ISNUMBER(E673),F673-E673,"N/A")</f>
        <v>N/A</v>
      </c>
      <c r="I673" s="46" t="str">
        <f>IF(E673&lt;&gt;"",IF(F673=E673,"No Change",IF(F673&gt;E673,"Increase","Decrease")),"New")</f>
        <v>Increase</v>
      </c>
      <c r="J673" s="58"/>
      <c r="K673" s="59" t="str">
        <f>IF(LEN(J673)&gt;0,IF(OR(ISLOGICAL(J673),J673="TRUE"),"Yes",""),"")</f>
      </c>
      <c r="L673" s="59"/>
      <c r="M673" s="59"/>
      <c r="N673" s="62" t="str">
        <f>IF(LEN(M673)&gt;0,IF(OR(ISLOGICAL(M673),M673="TRUE"),"Yes",""),"")</f>
      </c>
      <c r="O673" s="59"/>
      <c r="P673" s="62" t="str">
        <f>IF(LEN(O673)&gt;0,IF(OR(ISLOGICAL(O673),O673="TRUE"),"Yes",""),"")</f>
      </c>
      <c r="Q673" s="62" t="s">
        <v>98</v>
      </c>
      <c r="R673" s="63"/>
    </row>
    <row r="674" spans="1:18" s="47" customFormat="1" ht="51">
      <c r="A674" s="63" t="s">
        <v>1422</v>
      </c>
      <c r="B674" s="63" t="s">
        <v>96</v>
      </c>
      <c r="C674" s="63" t="s">
        <v>1423</v>
      </c>
      <c r="D674" s="61"/>
      <c r="E674" s="45">
        <v>0.4875</v>
      </c>
      <c r="F674" s="45">
        <v>0.4875</v>
      </c>
      <c r="G674" s="66">
        <v>46082</v>
      </c>
      <c r="H674" s="45" t="str">
        <f>IF(ISNUMBER(E674),F674-E674,"N/A")</f>
        <v>N/A</v>
      </c>
      <c r="I674" s="46" t="str">
        <f>IF(E674&lt;&gt;"",IF(F674=E674,"No Change",IF(F674&gt;E674,"Increase","Decrease")),"New")</f>
        <v>Increase</v>
      </c>
      <c r="J674" s="58"/>
      <c r="K674" s="59" t="str">
        <f>IF(LEN(J674)&gt;0,IF(OR(ISLOGICAL(J674),J674="TRUE"),"Yes",""),"")</f>
      </c>
      <c r="L674" s="59"/>
      <c r="M674" s="59"/>
      <c r="N674" s="62" t="str">
        <f>IF(LEN(M674)&gt;0,IF(OR(ISLOGICAL(M674),M674="TRUE"),"Yes",""),"")</f>
      </c>
      <c r="O674" s="59"/>
      <c r="P674" s="62" t="str">
        <f>IF(LEN(O674)&gt;0,IF(OR(ISLOGICAL(O674),O674="TRUE"),"Yes",""),"")</f>
      </c>
      <c r="Q674" s="62" t="s">
        <v>98</v>
      </c>
      <c r="R674" s="63"/>
    </row>
    <row r="675" spans="1:18" s="47" customFormat="1" ht="51">
      <c r="A675" s="63" t="s">
        <v>1424</v>
      </c>
      <c r="B675" s="63" t="s">
        <v>96</v>
      </c>
      <c r="C675" s="63" t="s">
        <v>1425</v>
      </c>
      <c r="D675" s="61"/>
      <c r="E675" s="45">
        <v>0.556</v>
      </c>
      <c r="F675" s="45">
        <v>0.556</v>
      </c>
      <c r="G675" s="66">
        <v>46029</v>
      </c>
      <c r="H675" s="45" t="str">
        <f>IF(ISNUMBER(E675),F675-E675,"N/A")</f>
        <v>N/A</v>
      </c>
      <c r="I675" s="46" t="str">
        <f>IF(E675&lt;&gt;"",IF(F675=E675,"No Change",IF(F675&gt;E675,"Increase","Decrease")),"New")</f>
        <v>Increase</v>
      </c>
      <c r="J675" s="58" t="s">
        <v>122</v>
      </c>
      <c r="K675" s="59" t="str">
        <f>IF(LEN(J675)&gt;0,IF(OR(ISLOGICAL(J675),J675="TRUE"),"Yes",""),"")</f>
      </c>
      <c r="L675" s="59"/>
      <c r="M675" s="59"/>
      <c r="N675" s="62" t="str">
        <f>IF(LEN(M675)&gt;0,IF(OR(ISLOGICAL(M675),M675="TRUE"),"Yes",""),"")</f>
      </c>
      <c r="O675" s="59"/>
      <c r="P675" s="62" t="str">
        <f>IF(LEN(O675)&gt;0,IF(OR(ISLOGICAL(O675),O675="TRUE"),"Yes",""),"")</f>
      </c>
      <c r="Q675" s="62" t="s">
        <v>98</v>
      </c>
      <c r="R675" s="63"/>
    </row>
    <row r="676" spans="1:18" s="47" customFormat="1" ht="51">
      <c r="A676" s="63" t="s">
        <v>1426</v>
      </c>
      <c r="B676" s="63" t="s">
        <v>96</v>
      </c>
      <c r="C676" s="63" t="s">
        <v>1427</v>
      </c>
      <c r="D676" s="61"/>
      <c r="E676" s="45">
        <v>0.62</v>
      </c>
      <c r="F676" s="45">
        <v>0.62</v>
      </c>
      <c r="G676" s="66">
        <v>45280</v>
      </c>
      <c r="H676" s="45" t="str">
        <f>IF(ISNUMBER(E676),F676-E676,"N/A")</f>
        <v>N/A</v>
      </c>
      <c r="I676" s="46" t="str">
        <f>IF(E676&lt;&gt;"",IF(F676=E676,"No Change",IF(F676&gt;E676,"Increase","Decrease")),"New")</f>
        <v>Increase</v>
      </c>
      <c r="J676" s="58" t="s">
        <v>122</v>
      </c>
      <c r="K676" s="59" t="str">
        <f>IF(LEN(J676)&gt;0,IF(OR(ISLOGICAL(J676),J676="TRUE"),"Yes",""),"")</f>
      </c>
      <c r="L676" s="59"/>
      <c r="M676" s="59"/>
      <c r="N676" s="62" t="str">
        <f>IF(LEN(M676)&gt;0,IF(OR(ISLOGICAL(M676),M676="TRUE"),"Yes",""),"")</f>
      </c>
      <c r="O676" s="59"/>
      <c r="P676" s="62" t="str">
        <f>IF(LEN(O676)&gt;0,IF(OR(ISLOGICAL(O676),O676="TRUE"),"Yes",""),"")</f>
      </c>
      <c r="Q676" s="62" t="s">
        <v>98</v>
      </c>
      <c r="R676" s="63"/>
    </row>
    <row r="677" spans="1:18" s="47" customFormat="1" ht="51">
      <c r="A677" s="63" t="s">
        <v>1428</v>
      </c>
      <c r="B677" s="63" t="s">
        <v>96</v>
      </c>
      <c r="C677" s="63" t="s">
        <v>1429</v>
      </c>
      <c r="D677" s="61"/>
      <c r="E677" s="45">
        <v>0.4875</v>
      </c>
      <c r="F677" s="45">
        <v>0.4875</v>
      </c>
      <c r="G677" s="66">
        <v>46082</v>
      </c>
      <c r="H677" s="45" t="str">
        <f>IF(ISNUMBER(E677),F677-E677,"N/A")</f>
        <v>N/A</v>
      </c>
      <c r="I677" s="46" t="str">
        <f>IF(E677&lt;&gt;"",IF(F677=E677,"No Change",IF(F677&gt;E677,"Increase","Decrease")),"New")</f>
        <v>Increase</v>
      </c>
      <c r="J677" s="58"/>
      <c r="K677" s="59" t="str">
        <f>IF(LEN(J677)&gt;0,IF(OR(ISLOGICAL(J677),J677="TRUE"),"Yes",""),"")</f>
      </c>
      <c r="L677" s="59"/>
      <c r="M677" s="59"/>
      <c r="N677" s="62" t="str">
        <f>IF(LEN(M677)&gt;0,IF(OR(ISLOGICAL(M677),M677="TRUE"),"Yes",""),"")</f>
      </c>
      <c r="O677" s="59"/>
      <c r="P677" s="62" t="str">
        <f>IF(LEN(O677)&gt;0,IF(OR(ISLOGICAL(O677),O677="TRUE"),"Yes",""),"")</f>
      </c>
      <c r="Q677" s="62" t="s">
        <v>98</v>
      </c>
      <c r="R677" s="63"/>
    </row>
    <row r="678" spans="1:18" s="47" customFormat="1" ht="51">
      <c r="A678" s="63" t="s">
        <v>1430</v>
      </c>
      <c r="B678" s="63" t="s">
        <v>96</v>
      </c>
      <c r="C678" s="63" t="s">
        <v>1431</v>
      </c>
      <c r="D678" s="61"/>
      <c r="E678" s="45">
        <v>0.625</v>
      </c>
      <c r="F678" s="45">
        <v>0.625</v>
      </c>
      <c r="G678" s="66">
        <v>46106</v>
      </c>
      <c r="H678" s="45" t="str">
        <f>IF(ISNUMBER(E678),F678-E678,"N/A")</f>
        <v>N/A</v>
      </c>
      <c r="I678" s="46" t="str">
        <f>IF(E678&lt;&gt;"",IF(F678=E678,"No Change",IF(F678&gt;E678,"Increase","Decrease")),"New")</f>
        <v>Increase</v>
      </c>
      <c r="J678" s="58" t="s">
        <v>122</v>
      </c>
      <c r="K678" s="59" t="str">
        <f>IF(LEN(J678)&gt;0,IF(OR(ISLOGICAL(J678),J678="TRUE"),"Yes",""),"")</f>
      </c>
      <c r="L678" s="59"/>
      <c r="M678" s="59"/>
      <c r="N678" s="62" t="str">
        <f>IF(LEN(M678)&gt;0,IF(OR(ISLOGICAL(M678),M678="TRUE"),"Yes",""),"")</f>
      </c>
      <c r="O678" s="59"/>
      <c r="P678" s="62" t="str">
        <f>IF(LEN(O678)&gt;0,IF(OR(ISLOGICAL(O678),O678="TRUE"),"Yes",""),"")</f>
      </c>
      <c r="Q678" s="62" t="s">
        <v>98</v>
      </c>
      <c r="R678" s="63"/>
    </row>
    <row r="679" spans="1:18" s="47" customFormat="1" ht="51">
      <c r="A679" s="63" t="s">
        <v>1432</v>
      </c>
      <c r="B679" s="63" t="s">
        <v>96</v>
      </c>
      <c r="C679" s="63" t="s">
        <v>1433</v>
      </c>
      <c r="D679" s="61"/>
      <c r="E679" s="45">
        <v>0.4875</v>
      </c>
      <c r="F679" s="45">
        <v>0.4875</v>
      </c>
      <c r="G679" s="66">
        <v>46082</v>
      </c>
      <c r="H679" s="45" t="str">
        <f>IF(ISNUMBER(E679),F679-E679,"N/A")</f>
        <v>N/A</v>
      </c>
      <c r="I679" s="46" t="str">
        <f>IF(E679&lt;&gt;"",IF(F679=E679,"No Change",IF(F679&gt;E679,"Increase","Decrease")),"New")</f>
        <v>Increase</v>
      </c>
      <c r="J679" s="58"/>
      <c r="K679" s="59" t="str">
        <f>IF(LEN(J679)&gt;0,IF(OR(ISLOGICAL(J679),J679="TRUE"),"Yes",""),"")</f>
      </c>
      <c r="L679" s="59"/>
      <c r="M679" s="59"/>
      <c r="N679" s="62" t="str">
        <f>IF(LEN(M679)&gt;0,IF(OR(ISLOGICAL(M679),M679="TRUE"),"Yes",""),"")</f>
      </c>
      <c r="O679" s="59"/>
      <c r="P679" s="62" t="str">
        <f>IF(LEN(O679)&gt;0,IF(OR(ISLOGICAL(O679),O679="TRUE"),"Yes",""),"")</f>
      </c>
      <c r="Q679" s="62" t="s">
        <v>98</v>
      </c>
      <c r="R679" s="63"/>
    </row>
    <row r="680" spans="1:18" s="47" customFormat="1" ht="51">
      <c r="A680" s="63" t="s">
        <v>1434</v>
      </c>
      <c r="B680" s="63" t="s">
        <v>96</v>
      </c>
      <c r="C680" s="63" t="s">
        <v>1435</v>
      </c>
      <c r="D680" s="61"/>
      <c r="E680" s="45">
        <v>0.425</v>
      </c>
      <c r="F680" s="45">
        <v>0.425</v>
      </c>
      <c r="G680" s="66">
        <v>46078</v>
      </c>
      <c r="H680" s="45" t="str">
        <f>IF(ISNUMBER(E680),F680-E680,"N/A")</f>
        <v>N/A</v>
      </c>
      <c r="I680" s="46" t="str">
        <f>IF(E680&lt;&gt;"",IF(F680=E680,"No Change",IF(F680&gt;E680,"Increase","Decrease")),"New")</f>
        <v>Increase</v>
      </c>
      <c r="J680" s="58"/>
      <c r="K680" s="59" t="str">
        <f>IF(LEN(J680)&gt;0,IF(OR(ISLOGICAL(J680),J680="TRUE"),"Yes",""),"")</f>
      </c>
      <c r="L680" s="59"/>
      <c r="M680" s="59"/>
      <c r="N680" s="62" t="str">
        <f>IF(LEN(M680)&gt;0,IF(OR(ISLOGICAL(M680),M680="TRUE"),"Yes",""),"")</f>
      </c>
      <c r="O680" s="59"/>
      <c r="P680" s="62" t="str">
        <f>IF(LEN(O680)&gt;0,IF(OR(ISLOGICAL(O680),O680="TRUE"),"Yes",""),"")</f>
      </c>
      <c r="Q680" s="62" t="s">
        <v>98</v>
      </c>
      <c r="R680" s="63"/>
    </row>
    <row r="681" spans="1:18" s="47" customFormat="1" ht="51">
      <c r="A681" s="63" t="s">
        <v>1436</v>
      </c>
      <c r="B681" s="63" t="s">
        <v>96</v>
      </c>
      <c r="C681" s="63" t="s">
        <v>1437</v>
      </c>
      <c r="D681" s="61"/>
      <c r="E681" s="45">
        <v>0.39</v>
      </c>
      <c r="F681" s="45">
        <v>0.39</v>
      </c>
      <c r="G681" s="66">
        <v>46085</v>
      </c>
      <c r="H681" s="45" t="str">
        <f>IF(ISNUMBER(E681),F681-E681,"N/A")</f>
        <v>N/A</v>
      </c>
      <c r="I681" s="46" t="str">
        <f>IF(E681&lt;&gt;"",IF(F681=E681,"No Change",IF(F681&gt;E681,"Increase","Decrease")),"New")</f>
        <v>Increase</v>
      </c>
      <c r="J681" s="58"/>
      <c r="K681" s="59" t="str">
        <f>IF(LEN(J681)&gt;0,IF(OR(ISLOGICAL(J681),J681="TRUE"),"Yes",""),"")</f>
      </c>
      <c r="L681" s="59"/>
      <c r="M681" s="59"/>
      <c r="N681" s="62" t="str">
        <f>IF(LEN(M681)&gt;0,IF(OR(ISLOGICAL(M681),M681="TRUE"),"Yes",""),"")</f>
      </c>
      <c r="O681" s="59"/>
      <c r="P681" s="62" t="str">
        <f>IF(LEN(O681)&gt;0,IF(OR(ISLOGICAL(O681),O681="TRUE"),"Yes",""),"")</f>
      </c>
      <c r="Q681" s="62" t="s">
        <v>98</v>
      </c>
      <c r="R681" s="63"/>
    </row>
    <row r="682" spans="1:18" s="47" customFormat="1" ht="51">
      <c r="A682" s="63" t="s">
        <v>1438</v>
      </c>
      <c r="B682" s="63" t="s">
        <v>96</v>
      </c>
      <c r="C682" s="63" t="s">
        <v>1439</v>
      </c>
      <c r="D682" s="61"/>
      <c r="E682" s="45">
        <v>0.355</v>
      </c>
      <c r="F682" s="45">
        <v>0.355</v>
      </c>
      <c r="G682" s="66">
        <v>46074</v>
      </c>
      <c r="H682" s="45" t="str">
        <f>IF(ISNUMBER(E682),F682-E682,"N/A")</f>
        <v>N/A</v>
      </c>
      <c r="I682" s="46" t="str">
        <f>IF(E682&lt;&gt;"",IF(F682=E682,"No Change",IF(F682&gt;E682,"Increase","Decrease")),"New")</f>
        <v>Increase</v>
      </c>
      <c r="J682" s="58" t="s">
        <v>122</v>
      </c>
      <c r="K682" s="59" t="str">
        <f>IF(LEN(J682)&gt;0,IF(OR(ISLOGICAL(J682),J682="TRUE"),"Yes",""),"")</f>
      </c>
      <c r="L682" s="59"/>
      <c r="M682" s="59"/>
      <c r="N682" s="62" t="str">
        <f>IF(LEN(M682)&gt;0,IF(OR(ISLOGICAL(M682),M682="TRUE"),"Yes",""),"")</f>
      </c>
      <c r="O682" s="59"/>
      <c r="P682" s="62" t="str">
        <f>IF(LEN(O682)&gt;0,IF(OR(ISLOGICAL(O682),O682="TRUE"),"Yes",""),"")</f>
      </c>
      <c r="Q682" s="62" t="s">
        <v>98</v>
      </c>
      <c r="R682" s="63"/>
    </row>
    <row r="683" spans="1:18" s="47" customFormat="1" ht="51">
      <c r="A683" s="63" t="s">
        <v>1440</v>
      </c>
      <c r="B683" s="63" t="s">
        <v>96</v>
      </c>
      <c r="C683" s="63" t="s">
        <v>1441</v>
      </c>
      <c r="D683" s="61"/>
      <c r="E683" s="45">
        <v>0.345</v>
      </c>
      <c r="F683" s="45">
        <v>0.345</v>
      </c>
      <c r="G683" s="66">
        <v>46078</v>
      </c>
      <c r="H683" s="45" t="str">
        <f>IF(ISNUMBER(E683),F683-E683,"N/A")</f>
        <v>N/A</v>
      </c>
      <c r="I683" s="46" t="str">
        <f>IF(E683&lt;&gt;"",IF(F683=E683,"No Change",IF(F683&gt;E683,"Increase","Decrease")),"New")</f>
        <v>Increase</v>
      </c>
      <c r="J683" s="58"/>
      <c r="K683" s="59" t="str">
        <f>IF(LEN(J683)&gt;0,IF(OR(ISLOGICAL(J683),J683="TRUE"),"Yes",""),"")</f>
      </c>
      <c r="L683" s="59"/>
      <c r="M683" s="59"/>
      <c r="N683" s="62" t="str">
        <f>IF(LEN(M683)&gt;0,IF(OR(ISLOGICAL(M683),M683="TRUE"),"Yes",""),"")</f>
      </c>
      <c r="O683" s="59"/>
      <c r="P683" s="62" t="str">
        <f>IF(LEN(O683)&gt;0,IF(OR(ISLOGICAL(O683),O683="TRUE"),"Yes",""),"")</f>
      </c>
      <c r="Q683" s="62" t="s">
        <v>98</v>
      </c>
      <c r="R683" s="63"/>
    </row>
    <row r="684" spans="1:18" s="47" customFormat="1" ht="51">
      <c r="A684" s="63" t="s">
        <v>1442</v>
      </c>
      <c r="B684" s="63" t="s">
        <v>96</v>
      </c>
      <c r="C684" s="63" t="s">
        <v>1443</v>
      </c>
      <c r="D684" s="61"/>
      <c r="E684" s="45">
        <v>0.39</v>
      </c>
      <c r="F684" s="45">
        <v>0.39</v>
      </c>
      <c r="G684" s="66">
        <v>45324</v>
      </c>
      <c r="H684" s="45" t="str">
        <f>IF(ISNUMBER(E684),F684-E684,"N/A")</f>
        <v>N/A</v>
      </c>
      <c r="I684" s="46" t="str">
        <f>IF(E684&lt;&gt;"",IF(F684=E684,"No Change",IF(F684&gt;E684,"Increase","Decrease")),"New")</f>
        <v>Increase</v>
      </c>
      <c r="J684" s="58" t="s">
        <v>122</v>
      </c>
      <c r="K684" s="59" t="str">
        <f>IF(LEN(J684)&gt;0,IF(OR(ISLOGICAL(J684),J684="TRUE"),"Yes",""),"")</f>
      </c>
      <c r="L684" s="59"/>
      <c r="M684" s="59"/>
      <c r="N684" s="62" t="str">
        <f>IF(LEN(M684)&gt;0,IF(OR(ISLOGICAL(M684),M684="TRUE"),"Yes",""),"")</f>
      </c>
      <c r="O684" s="59"/>
      <c r="P684" s="62" t="str">
        <f>IF(LEN(O684)&gt;0,IF(OR(ISLOGICAL(O684),O684="TRUE"),"Yes",""),"")</f>
      </c>
      <c r="Q684" s="62" t="s">
        <v>98</v>
      </c>
      <c r="R684" s="63"/>
    </row>
    <row r="685" spans="1:18" s="47" customFormat="1" ht="51">
      <c r="A685" s="63" t="s">
        <v>1444</v>
      </c>
      <c r="B685" s="63" t="s">
        <v>96</v>
      </c>
      <c r="C685" s="63" t="s">
        <v>1445</v>
      </c>
      <c r="D685" s="61"/>
      <c r="E685" s="45">
        <v>0.0031</v>
      </c>
      <c r="F685" s="45">
        <v>0.0031</v>
      </c>
      <c r="G685" s="66">
        <v>46023</v>
      </c>
      <c r="H685" s="45" t="str">
        <f>IF(ISNUMBER(E685),F685-E685,"N/A")</f>
        <v>N/A</v>
      </c>
      <c r="I685" s="46" t="str">
        <f>IF(E685&lt;&gt;"",IF(F685=E685,"No Change",IF(F685&gt;E685,"Increase","Decrease")),"New")</f>
        <v>Increase</v>
      </c>
      <c r="J685" s="58"/>
      <c r="K685" s="59" t="str">
        <f>IF(LEN(J685)&gt;0,IF(OR(ISLOGICAL(J685),J685="TRUE"),"Yes",""),"")</f>
      </c>
      <c r="L685" s="59"/>
      <c r="M685" s="59"/>
      <c r="N685" s="62" t="str">
        <f>IF(LEN(M685)&gt;0,IF(OR(ISLOGICAL(M685),M685="TRUE"),"Yes",""),"")</f>
      </c>
      <c r="O685" s="59"/>
      <c r="P685" s="62" t="str">
        <f>IF(LEN(O685)&gt;0,IF(OR(ISLOGICAL(O685),O685="TRUE"),"Yes",""),"")</f>
      </c>
      <c r="Q685" s="62" t="s">
        <v>104</v>
      </c>
      <c r="R685" s="63"/>
    </row>
    <row r="686" spans="1:18" s="47" customFormat="1" ht="51">
      <c r="A686" s="63" t="s">
        <v>1446</v>
      </c>
      <c r="B686" s="63" t="s">
        <v>96</v>
      </c>
      <c r="C686" s="63" t="s">
        <v>1447</v>
      </c>
      <c r="D686" s="61"/>
      <c r="E686" s="45">
        <v>0.004</v>
      </c>
      <c r="F686" s="45">
        <v>0.004</v>
      </c>
      <c r="G686" s="66">
        <v>46023</v>
      </c>
      <c r="H686" s="45" t="str">
        <f>IF(ISNUMBER(E686),F686-E686,"N/A")</f>
        <v>N/A</v>
      </c>
      <c r="I686" s="46" t="str">
        <f>IF(E686&lt;&gt;"",IF(F686=E686,"No Change",IF(F686&gt;E686,"Increase","Decrease")),"New")</f>
        <v>Increase</v>
      </c>
      <c r="J686" s="58" t="s">
        <v>122</v>
      </c>
      <c r="K686" s="59" t="str">
        <f>IF(LEN(J686)&gt;0,IF(OR(ISLOGICAL(J686),J686="TRUE"),"Yes",""),"")</f>
      </c>
      <c r="L686" s="59"/>
      <c r="M686" s="59"/>
      <c r="N686" s="62" t="str">
        <f>IF(LEN(M686)&gt;0,IF(OR(ISLOGICAL(M686),M686="TRUE"),"Yes",""),"")</f>
      </c>
      <c r="O686" s="59"/>
      <c r="P686" s="62" t="str">
        <f>IF(LEN(O686)&gt;0,IF(OR(ISLOGICAL(O686),O686="TRUE"),"Yes",""),"")</f>
      </c>
      <c r="Q686" s="62" t="s">
        <v>104</v>
      </c>
      <c r="R686" s="63"/>
    </row>
    <row r="687" spans="1:18" s="47" customFormat="1" ht="51">
      <c r="A687" s="63" t="s">
        <v>1448</v>
      </c>
      <c r="B687" s="63" t="s">
        <v>96</v>
      </c>
      <c r="C687" s="63" t="s">
        <v>1449</v>
      </c>
      <c r="D687" s="61"/>
      <c r="E687" s="45">
        <v>0.004</v>
      </c>
      <c r="F687" s="45">
        <v>0.004</v>
      </c>
      <c r="G687" s="66">
        <v>46023</v>
      </c>
      <c r="H687" s="45" t="str">
        <f>IF(ISNUMBER(E687),F687-E687,"N/A")</f>
        <v>N/A</v>
      </c>
      <c r="I687" s="46" t="str">
        <f>IF(E687&lt;&gt;"",IF(F687=E687,"No Change",IF(F687&gt;E687,"Increase","Decrease")),"New")</f>
        <v>Increase</v>
      </c>
      <c r="J687" s="58" t="s">
        <v>122</v>
      </c>
      <c r="K687" s="59" t="str">
        <f>IF(LEN(J687)&gt;0,IF(OR(ISLOGICAL(J687),J687="TRUE"),"Yes",""),"")</f>
      </c>
      <c r="L687" s="59"/>
      <c r="M687" s="59"/>
      <c r="N687" s="62" t="str">
        <f>IF(LEN(M687)&gt;0,IF(OR(ISLOGICAL(M687),M687="TRUE"),"Yes",""),"")</f>
      </c>
      <c r="O687" s="59"/>
      <c r="P687" s="62" t="str">
        <f>IF(LEN(O687)&gt;0,IF(OR(ISLOGICAL(O687),O687="TRUE"),"Yes",""),"")</f>
      </c>
      <c r="Q687" s="62" t="s">
        <v>104</v>
      </c>
      <c r="R687" s="63"/>
    </row>
    <row r="688" spans="1:18" s="47" customFormat="1" ht="51">
      <c r="A688" s="63" t="s">
        <v>1450</v>
      </c>
      <c r="B688" s="63" t="s">
        <v>96</v>
      </c>
      <c r="C688" s="63" t="s">
        <v>1451</v>
      </c>
      <c r="D688" s="61"/>
      <c r="E688" s="45">
        <v>0.004</v>
      </c>
      <c r="F688" s="45">
        <v>0.004</v>
      </c>
      <c r="G688" s="66">
        <v>46023</v>
      </c>
      <c r="H688" s="45" t="str">
        <f>IF(ISNUMBER(E688),F688-E688,"N/A")</f>
        <v>N/A</v>
      </c>
      <c r="I688" s="46" t="str">
        <f>IF(E688&lt;&gt;"",IF(F688=E688,"No Change",IF(F688&gt;E688,"Increase","Decrease")),"New")</f>
        <v>Increase</v>
      </c>
      <c r="J688" s="58" t="s">
        <v>122</v>
      </c>
      <c r="K688" s="59" t="str">
        <f>IF(LEN(J688)&gt;0,IF(OR(ISLOGICAL(J688),J688="TRUE"),"Yes",""),"")</f>
      </c>
      <c r="L688" s="59"/>
      <c r="M688" s="59"/>
      <c r="N688" s="62" t="str">
        <f>IF(LEN(M688)&gt;0,IF(OR(ISLOGICAL(M688),M688="TRUE"),"Yes",""),"")</f>
      </c>
      <c r="O688" s="59"/>
      <c r="P688" s="62" t="str">
        <f>IF(LEN(O688)&gt;0,IF(OR(ISLOGICAL(O688),O688="TRUE"),"Yes",""),"")</f>
      </c>
      <c r="Q688" s="62" t="s">
        <v>104</v>
      </c>
      <c r="R688" s="63"/>
    </row>
    <row r="689" spans="1:18" s="47" customFormat="1" ht="51">
      <c r="A689" s="63" t="s">
        <v>1452</v>
      </c>
      <c r="B689" s="63" t="s">
        <v>96</v>
      </c>
      <c r="C689" s="63" t="s">
        <v>1453</v>
      </c>
      <c r="D689" s="61"/>
      <c r="E689" s="45">
        <v>0.004</v>
      </c>
      <c r="F689" s="45">
        <v>0.004</v>
      </c>
      <c r="G689" s="66">
        <v>46023</v>
      </c>
      <c r="H689" s="45" t="str">
        <f>IF(ISNUMBER(E689),F689-E689,"N/A")</f>
        <v>N/A</v>
      </c>
      <c r="I689" s="46" t="str">
        <f>IF(E689&lt;&gt;"",IF(F689=E689,"No Change",IF(F689&gt;E689,"Increase","Decrease")),"New")</f>
        <v>Increase</v>
      </c>
      <c r="J689" s="58"/>
      <c r="K689" s="59" t="str">
        <f>IF(LEN(J689)&gt;0,IF(OR(ISLOGICAL(J689),J689="TRUE"),"Yes",""),"")</f>
      </c>
      <c r="L689" s="59"/>
      <c r="M689" s="59"/>
      <c r="N689" s="62" t="str">
        <f>IF(LEN(M689)&gt;0,IF(OR(ISLOGICAL(M689),M689="TRUE"),"Yes",""),"")</f>
      </c>
      <c r="O689" s="59"/>
      <c r="P689" s="62" t="str">
        <f>IF(LEN(O689)&gt;0,IF(OR(ISLOGICAL(O689),O689="TRUE"),"Yes",""),"")</f>
      </c>
      <c r="Q689" s="62" t="s">
        <v>104</v>
      </c>
      <c r="R689" s="63"/>
    </row>
    <row r="690" spans="1:18" s="47" customFormat="1" ht="51">
      <c r="A690" s="63" t="s">
        <v>1454</v>
      </c>
      <c r="B690" s="63" t="s">
        <v>96</v>
      </c>
      <c r="C690" s="63" t="s">
        <v>1455</v>
      </c>
      <c r="D690" s="61"/>
      <c r="E690" s="45">
        <v>0.004</v>
      </c>
      <c r="F690" s="45">
        <v>0.004</v>
      </c>
      <c r="G690" s="66">
        <v>46023</v>
      </c>
      <c r="H690" s="45" t="str">
        <f>IF(ISNUMBER(E690),F690-E690,"N/A")</f>
        <v>N/A</v>
      </c>
      <c r="I690" s="46" t="str">
        <f>IF(E690&lt;&gt;"",IF(F690=E690,"No Change",IF(F690&gt;E690,"Increase","Decrease")),"New")</f>
        <v>Increase</v>
      </c>
      <c r="J690" s="58"/>
      <c r="K690" s="59" t="str">
        <f>IF(LEN(J690)&gt;0,IF(OR(ISLOGICAL(J690),J690="TRUE"),"Yes",""),"")</f>
      </c>
      <c r="L690" s="59"/>
      <c r="M690" s="59"/>
      <c r="N690" s="62" t="str">
        <f>IF(LEN(M690)&gt;0,IF(OR(ISLOGICAL(M690),M690="TRUE"),"Yes",""),"")</f>
      </c>
      <c r="O690" s="59"/>
      <c r="P690" s="62" t="str">
        <f>IF(LEN(O690)&gt;0,IF(OR(ISLOGICAL(O690),O690="TRUE"),"Yes",""),"")</f>
      </c>
      <c r="Q690" s="62" t="s">
        <v>104</v>
      </c>
      <c r="R690" s="63"/>
    </row>
    <row r="691" spans="1:18" s="47" customFormat="1" ht="51">
      <c r="A691" s="63" t="s">
        <v>1456</v>
      </c>
      <c r="B691" s="63" t="s">
        <v>96</v>
      </c>
      <c r="C691" s="63" t="s">
        <v>1457</v>
      </c>
      <c r="D691" s="61"/>
      <c r="E691" s="45">
        <v>0.68</v>
      </c>
      <c r="F691" s="45">
        <v>0.68</v>
      </c>
      <c r="G691" s="66">
        <v>46092</v>
      </c>
      <c r="H691" s="45" t="str">
        <f>IF(ISNUMBER(E691),F691-E691,"N/A")</f>
        <v>N/A</v>
      </c>
      <c r="I691" s="46" t="str">
        <f>IF(E691&lt;&gt;"",IF(F691=E691,"No Change",IF(F691&gt;E691,"Increase","Decrease")),"New")</f>
        <v>Increase</v>
      </c>
      <c r="J691" s="58"/>
      <c r="K691" s="59" t="str">
        <f>IF(LEN(J691)&gt;0,IF(OR(ISLOGICAL(J691),J691="TRUE"),"Yes",""),"")</f>
      </c>
      <c r="L691" s="59"/>
      <c r="M691" s="59"/>
      <c r="N691" s="62" t="str">
        <f>IF(LEN(M691)&gt;0,IF(OR(ISLOGICAL(M691),M691="TRUE"),"Yes",""),"")</f>
      </c>
      <c r="O691" s="59"/>
      <c r="P691" s="62" t="str">
        <f>IF(LEN(O691)&gt;0,IF(OR(ISLOGICAL(O691),O691="TRUE"),"Yes",""),"")</f>
      </c>
      <c r="Q691" s="62" t="s">
        <v>109</v>
      </c>
      <c r="R691" s="63"/>
    </row>
    <row r="692" spans="1:18" s="47" customFormat="1" ht="51">
      <c r="A692" s="63" t="s">
        <v>1458</v>
      </c>
      <c r="B692" s="63" t="s">
        <v>96</v>
      </c>
      <c r="C692" s="63" t="s">
        <v>1459</v>
      </c>
      <c r="D692" s="61"/>
      <c r="E692" s="45">
        <v>0.65</v>
      </c>
      <c r="F692" s="45">
        <v>0.65</v>
      </c>
      <c r="G692" s="66">
        <v>46078</v>
      </c>
      <c r="H692" s="45" t="str">
        <f>IF(ISNUMBER(E692),F692-E692,"N/A")</f>
        <v>N/A</v>
      </c>
      <c r="I692" s="46" t="str">
        <f>IF(E692&lt;&gt;"",IF(F692=E692,"No Change",IF(F692&gt;E692,"Increase","Decrease")),"New")</f>
        <v>Increase</v>
      </c>
      <c r="J692" s="58" t="s">
        <v>122</v>
      </c>
      <c r="K692" s="59" t="str">
        <f>IF(LEN(J692)&gt;0,IF(OR(ISLOGICAL(J692),J692="TRUE"),"Yes",""),"")</f>
      </c>
      <c r="L692" s="59"/>
      <c r="M692" s="59"/>
      <c r="N692" s="62" t="str">
        <f>IF(LEN(M692)&gt;0,IF(OR(ISLOGICAL(M692),M692="TRUE"),"Yes",""),"")</f>
      </c>
      <c r="O692" s="59"/>
      <c r="P692" s="62" t="str">
        <f>IF(LEN(O692)&gt;0,IF(OR(ISLOGICAL(O692),O692="TRUE"),"Yes",""),"")</f>
      </c>
      <c r="Q692" s="62" t="s">
        <v>109</v>
      </c>
      <c r="R692" s="63"/>
    </row>
    <row r="693" spans="1:18" s="47" customFormat="1" ht="51">
      <c r="A693" s="63" t="s">
        <v>1460</v>
      </c>
      <c r="B693" s="63" t="s">
        <v>96</v>
      </c>
      <c r="C693" s="63" t="s">
        <v>1461</v>
      </c>
      <c r="D693" s="61"/>
      <c r="E693" s="45">
        <v>0.68</v>
      </c>
      <c r="F693" s="45">
        <v>0.68</v>
      </c>
      <c r="G693" s="66">
        <v>46092</v>
      </c>
      <c r="H693" s="45" t="str">
        <f>IF(ISNUMBER(E693),F693-E693,"N/A")</f>
        <v>N/A</v>
      </c>
      <c r="I693" s="46" t="str">
        <f>IF(E693&lt;&gt;"",IF(F693=E693,"No Change",IF(F693&gt;E693,"Increase","Decrease")),"New")</f>
        <v>Increase</v>
      </c>
      <c r="J693" s="58" t="s">
        <v>122</v>
      </c>
      <c r="K693" s="59" t="str">
        <f>IF(LEN(J693)&gt;0,IF(OR(ISLOGICAL(J693),J693="TRUE"),"Yes",""),"")</f>
      </c>
      <c r="L693" s="59"/>
      <c r="M693" s="59"/>
      <c r="N693" s="62" t="str">
        <f>IF(LEN(M693)&gt;0,IF(OR(ISLOGICAL(M693),M693="TRUE"),"Yes",""),"")</f>
      </c>
      <c r="O693" s="59"/>
      <c r="P693" s="62" t="str">
        <f>IF(LEN(O693)&gt;0,IF(OR(ISLOGICAL(O693),O693="TRUE"),"Yes",""),"")</f>
      </c>
      <c r="Q693" s="62" t="s">
        <v>109</v>
      </c>
      <c r="R693" s="63"/>
    </row>
    <row r="694" spans="1:18" s="47" customFormat="1" ht="51">
      <c r="A694" s="63" t="s">
        <v>1462</v>
      </c>
      <c r="B694" s="63" t="s">
        <v>96</v>
      </c>
      <c r="C694" s="63" t="s">
        <v>1463</v>
      </c>
      <c r="D694" s="61"/>
      <c r="E694" s="45">
        <v>0.68</v>
      </c>
      <c r="F694" s="45">
        <v>0.68</v>
      </c>
      <c r="G694" s="66">
        <v>46082</v>
      </c>
      <c r="H694" s="45" t="str">
        <f>IF(ISNUMBER(E694),F694-E694,"N/A")</f>
        <v>N/A</v>
      </c>
      <c r="I694" s="46" t="str">
        <f>IF(E694&lt;&gt;"",IF(F694=E694,"No Change",IF(F694&gt;E694,"Increase","Decrease")),"New")</f>
        <v>Increase</v>
      </c>
      <c r="J694" s="58"/>
      <c r="K694" s="59" t="str">
        <f>IF(LEN(J694)&gt;0,IF(OR(ISLOGICAL(J694),J694="TRUE"),"Yes",""),"")</f>
      </c>
      <c r="L694" s="59"/>
      <c r="M694" s="59"/>
      <c r="N694" s="62" t="str">
        <f>IF(LEN(M694)&gt;0,IF(OR(ISLOGICAL(M694),M694="TRUE"),"Yes",""),"")</f>
      </c>
      <c r="O694" s="59"/>
      <c r="P694" s="62" t="str">
        <f>IF(LEN(O694)&gt;0,IF(OR(ISLOGICAL(O694),O694="TRUE"),"Yes",""),"")</f>
      </c>
      <c r="Q694" s="62" t="s">
        <v>109</v>
      </c>
      <c r="R694" s="63"/>
    </row>
    <row r="695" spans="1:18" s="47" customFormat="1" ht="51">
      <c r="A695" s="63" t="s">
        <v>1464</v>
      </c>
      <c r="B695" s="63" t="s">
        <v>96</v>
      </c>
      <c r="C695" s="63" t="s">
        <v>1465</v>
      </c>
      <c r="D695" s="61"/>
      <c r="E695" s="45">
        <v>0.68</v>
      </c>
      <c r="F695" s="45">
        <v>0.68</v>
      </c>
      <c r="G695" s="66">
        <v>46082</v>
      </c>
      <c r="H695" s="45" t="str">
        <f>IF(ISNUMBER(E695),F695-E695,"N/A")</f>
        <v>N/A</v>
      </c>
      <c r="I695" s="46" t="str">
        <f>IF(E695&lt;&gt;"",IF(F695=E695,"No Change",IF(F695&gt;E695,"Increase","Decrease")),"New")</f>
        <v>Increase</v>
      </c>
      <c r="J695" s="58"/>
      <c r="K695" s="59" t="str">
        <f>IF(LEN(J695)&gt;0,IF(OR(ISLOGICAL(J695),J695="TRUE"),"Yes",""),"")</f>
      </c>
      <c r="L695" s="59"/>
      <c r="M695" s="59"/>
      <c r="N695" s="62" t="str">
        <f>IF(LEN(M695)&gt;0,IF(OR(ISLOGICAL(M695),M695="TRUE"),"Yes",""),"")</f>
      </c>
      <c r="O695" s="59"/>
      <c r="P695" s="62" t="str">
        <f>IF(LEN(O695)&gt;0,IF(OR(ISLOGICAL(O695),O695="TRUE"),"Yes",""),"")</f>
      </c>
      <c r="Q695" s="62" t="s">
        <v>109</v>
      </c>
      <c r="R695" s="63"/>
    </row>
    <row r="696" spans="1:18" s="47" customFormat="1" ht="51">
      <c r="A696" s="63" t="s">
        <v>1466</v>
      </c>
      <c r="B696" s="63" t="s">
        <v>96</v>
      </c>
      <c r="C696" s="63" t="s">
        <v>1467</v>
      </c>
      <c r="D696" s="61"/>
      <c r="E696" s="45">
        <v>0.37</v>
      </c>
      <c r="F696" s="45">
        <v>0.37</v>
      </c>
      <c r="G696" s="66">
        <v>46085</v>
      </c>
      <c r="H696" s="45" t="str">
        <f>IF(ISNUMBER(E696),F696-E696,"N/A")</f>
        <v>N/A</v>
      </c>
      <c r="I696" s="46" t="str">
        <f>IF(E696&lt;&gt;"",IF(F696=E696,"No Change",IF(F696&gt;E696,"Increase","Decrease")),"New")</f>
        <v>Increase</v>
      </c>
      <c r="J696" s="58"/>
      <c r="K696" s="59" t="str">
        <f>IF(LEN(J696)&gt;0,IF(OR(ISLOGICAL(J696),J696="TRUE"),"Yes",""),"")</f>
      </c>
      <c r="L696" s="59"/>
      <c r="M696" s="59"/>
      <c r="N696" s="62" t="str">
        <f>IF(LEN(M696)&gt;0,IF(OR(ISLOGICAL(M696),M696="TRUE"),"Yes",""),"")</f>
      </c>
      <c r="O696" s="59"/>
      <c r="P696" s="62" t="str">
        <f>IF(LEN(O696)&gt;0,IF(OR(ISLOGICAL(O696),O696="TRUE"),"Yes",""),"")</f>
      </c>
      <c r="Q696" s="62" t="s">
        <v>98</v>
      </c>
      <c r="R696" s="63"/>
    </row>
    <row r="697" spans="1:18" s="47" customFormat="1" ht="51">
      <c r="A697" s="63" t="s">
        <v>1468</v>
      </c>
      <c r="B697" s="63" t="s">
        <v>96</v>
      </c>
      <c r="C697" s="63" t="s">
        <v>1469</v>
      </c>
      <c r="D697" s="61"/>
      <c r="E697" s="45">
        <v>0.345</v>
      </c>
      <c r="F697" s="45">
        <v>0.345</v>
      </c>
      <c r="G697" s="66">
        <v>46082</v>
      </c>
      <c r="H697" s="45" t="str">
        <f>IF(ISNUMBER(E697),F697-E697,"N/A")</f>
        <v>N/A</v>
      </c>
      <c r="I697" s="46" t="str">
        <f>IF(E697&lt;&gt;"",IF(F697=E697,"No Change",IF(F697&gt;E697,"Increase","Decrease")),"New")</f>
        <v>Increase</v>
      </c>
      <c r="J697" s="58"/>
      <c r="K697" s="59" t="str">
        <f>IF(LEN(J697)&gt;0,IF(OR(ISLOGICAL(J697),J697="TRUE"),"Yes",""),"")</f>
      </c>
      <c r="L697" s="59"/>
      <c r="M697" s="59"/>
      <c r="N697" s="62" t="str">
        <f>IF(LEN(M697)&gt;0,IF(OR(ISLOGICAL(M697),M697="TRUE"),"Yes",""),"")</f>
      </c>
      <c r="O697" s="59"/>
      <c r="P697" s="62" t="str">
        <f>IF(LEN(O697)&gt;0,IF(OR(ISLOGICAL(O697),O697="TRUE"),"Yes",""),"")</f>
      </c>
      <c r="Q697" s="62" t="s">
        <v>98</v>
      </c>
      <c r="R697" s="63"/>
    </row>
    <row r="698" spans="1:18" s="47" customFormat="1" ht="51">
      <c r="A698" s="63" t="s">
        <v>1470</v>
      </c>
      <c r="B698" s="63" t="s">
        <v>96</v>
      </c>
      <c r="C698" s="63" t="s">
        <v>1471</v>
      </c>
      <c r="D698" s="61"/>
      <c r="E698" s="45">
        <v>0.37</v>
      </c>
      <c r="F698" s="45">
        <v>0.37</v>
      </c>
      <c r="G698" s="66">
        <v>46134</v>
      </c>
      <c r="H698" s="45" t="str">
        <f>IF(ISNUMBER(E698),F698-E698,"N/A")</f>
        <v>N/A</v>
      </c>
      <c r="I698" s="46" t="str">
        <f>IF(E698&lt;&gt;"",IF(F698=E698,"No Change",IF(F698&gt;E698,"Increase","Decrease")),"New")</f>
        <v>Increase</v>
      </c>
      <c r="J698" s="58" t="s">
        <v>122</v>
      </c>
      <c r="K698" s="59" t="str">
        <f>IF(LEN(J698)&gt;0,IF(OR(ISLOGICAL(J698),J698="TRUE"),"Yes",""),"")</f>
      </c>
      <c r="L698" s="59"/>
      <c r="M698" s="59"/>
      <c r="N698" s="62" t="str">
        <f>IF(LEN(M698)&gt;0,IF(OR(ISLOGICAL(M698),M698="TRUE"),"Yes",""),"")</f>
      </c>
      <c r="O698" s="59"/>
      <c r="P698" s="62" t="str">
        <f>IF(LEN(O698)&gt;0,IF(OR(ISLOGICAL(O698),O698="TRUE"),"Yes",""),"")</f>
      </c>
      <c r="Q698" s="62" t="s">
        <v>98</v>
      </c>
      <c r="R698" s="63"/>
    </row>
    <row r="699" spans="1:18" s="47" customFormat="1" ht="51">
      <c r="A699" s="63" t="s">
        <v>1472</v>
      </c>
      <c r="B699" s="63" t="s">
        <v>96</v>
      </c>
      <c r="C699" s="63" t="s">
        <v>1473</v>
      </c>
      <c r="D699" s="61"/>
      <c r="E699" s="45">
        <v>0.3715</v>
      </c>
      <c r="F699" s="45">
        <v>0.3715</v>
      </c>
      <c r="G699" s="66">
        <v>45931</v>
      </c>
      <c r="H699" s="45" t="str">
        <f>IF(ISNUMBER(E699),F699-E699,"N/A")</f>
        <v>N/A</v>
      </c>
      <c r="I699" s="46" t="str">
        <f>IF(E699&lt;&gt;"",IF(F699=E699,"No Change",IF(F699&gt;E699,"Increase","Decrease")),"New")</f>
        <v>Increase</v>
      </c>
      <c r="J699" s="58" t="s">
        <v>122</v>
      </c>
      <c r="K699" s="59" t="str">
        <f>IF(LEN(J699)&gt;0,IF(OR(ISLOGICAL(J699),J699="TRUE"),"Yes",""),"")</f>
      </c>
      <c r="L699" s="59"/>
      <c r="M699" s="59"/>
      <c r="N699" s="62" t="str">
        <f>IF(LEN(M699)&gt;0,IF(OR(ISLOGICAL(M699),M699="TRUE"),"Yes",""),"")</f>
      </c>
      <c r="O699" s="59"/>
      <c r="P699" s="62" t="str">
        <f>IF(LEN(O699)&gt;0,IF(OR(ISLOGICAL(O699),O699="TRUE"),"Yes",""),"")</f>
      </c>
      <c r="Q699" s="62" t="s">
        <v>98</v>
      </c>
      <c r="R699" s="63"/>
    </row>
    <row r="700" spans="1:18" s="47" customFormat="1" ht="51">
      <c r="A700" s="63" t="s">
        <v>1474</v>
      </c>
      <c r="B700" s="63" t="s">
        <v>96</v>
      </c>
      <c r="C700" s="63" t="s">
        <v>1475</v>
      </c>
      <c r="D700" s="61"/>
      <c r="E700" s="45">
        <v>0.37</v>
      </c>
      <c r="F700" s="45">
        <v>0.37</v>
      </c>
      <c r="G700" s="66">
        <v>46082</v>
      </c>
      <c r="H700" s="45" t="str">
        <f>IF(ISNUMBER(E700),F700-E700,"N/A")</f>
        <v>N/A</v>
      </c>
      <c r="I700" s="46" t="str">
        <f>IF(E700&lt;&gt;"",IF(F700=E700,"No Change",IF(F700&gt;E700,"Increase","Decrease")),"New")</f>
        <v>Increase</v>
      </c>
      <c r="J700" s="58"/>
      <c r="K700" s="59" t="str">
        <f>IF(LEN(J700)&gt;0,IF(OR(ISLOGICAL(J700),J700="TRUE"),"Yes",""),"")</f>
      </c>
      <c r="L700" s="59"/>
      <c r="M700" s="59"/>
      <c r="N700" s="62" t="str">
        <f>IF(LEN(M700)&gt;0,IF(OR(ISLOGICAL(M700),M700="TRUE"),"Yes",""),"")</f>
      </c>
      <c r="O700" s="59"/>
      <c r="P700" s="62" t="str">
        <f>IF(LEN(O700)&gt;0,IF(OR(ISLOGICAL(O700),O700="TRUE"),"Yes",""),"")</f>
      </c>
      <c r="Q700" s="62" t="s">
        <v>98</v>
      </c>
      <c r="R700" s="63"/>
    </row>
    <row r="701" spans="1:18" s="47" customFormat="1" ht="51">
      <c r="A701" s="63" t="s">
        <v>1476</v>
      </c>
      <c r="B701" s="63" t="s">
        <v>96</v>
      </c>
      <c r="C701" s="63" t="s">
        <v>1477</v>
      </c>
      <c r="D701" s="61"/>
      <c r="E701" s="45">
        <v>0.18</v>
      </c>
      <c r="F701" s="45">
        <v>0.18</v>
      </c>
      <c r="G701" s="66">
        <v>46120</v>
      </c>
      <c r="H701" s="45" t="str">
        <f>IF(ISNUMBER(E701),F701-E701,"N/A")</f>
        <v>N/A</v>
      </c>
      <c r="I701" s="46" t="str">
        <f>IF(E701&lt;&gt;"",IF(F701=E701,"No Change",IF(F701&gt;E701,"Increase","Decrease")),"New")</f>
        <v>Increase</v>
      </c>
      <c r="J701" s="58"/>
      <c r="K701" s="59" t="str">
        <f>IF(LEN(J701)&gt;0,IF(OR(ISLOGICAL(J701),J701="TRUE"),"Yes",""),"")</f>
      </c>
      <c r="L701" s="59"/>
      <c r="M701" s="59"/>
      <c r="N701" s="62" t="str">
        <f>IF(LEN(M701)&gt;0,IF(OR(ISLOGICAL(M701),M701="TRUE"),"Yes",""),"")</f>
      </c>
      <c r="O701" s="59"/>
      <c r="P701" s="62" t="str">
        <f>IF(LEN(O701)&gt;0,IF(OR(ISLOGICAL(O701),O701="TRUE"),"Yes",""),"")</f>
      </c>
      <c r="Q701" s="62" t="s">
        <v>98</v>
      </c>
      <c r="R701" s="63"/>
    </row>
    <row r="702" spans="1:18" s="47" customFormat="1" ht="51">
      <c r="A702" s="63" t="s">
        <v>1478</v>
      </c>
      <c r="B702" s="63" t="s">
        <v>96</v>
      </c>
      <c r="C702" s="63" t="s">
        <v>1479</v>
      </c>
      <c r="D702" s="61"/>
      <c r="E702" s="45">
        <v>0.39</v>
      </c>
      <c r="F702" s="45">
        <v>0.39</v>
      </c>
      <c r="G702" s="66">
        <v>46143</v>
      </c>
      <c r="H702" s="45" t="str">
        <f>IF(ISNUMBER(E702),F702-E702,"N/A")</f>
        <v>N/A</v>
      </c>
      <c r="I702" s="46" t="str">
        <f>IF(E702&lt;&gt;"",IF(F702=E702,"No Change",IF(F702&gt;E702,"Increase","Decrease")),"New")</f>
        <v>Increase</v>
      </c>
      <c r="J702" s="58"/>
      <c r="K702" s="59" t="str">
        <f>IF(LEN(J702)&gt;0,IF(OR(ISLOGICAL(J702),J702="TRUE"),"Yes",""),"")</f>
      </c>
      <c r="L702" s="59"/>
      <c r="M702" s="59"/>
      <c r="N702" s="62" t="str">
        <f>IF(LEN(M702)&gt;0,IF(OR(ISLOGICAL(M702),M702="TRUE"),"Yes",""),"")</f>
      </c>
      <c r="O702" s="59"/>
      <c r="P702" s="62" t="str">
        <f>IF(LEN(O702)&gt;0,IF(OR(ISLOGICAL(O702),O702="TRUE"),"Yes",""),"")</f>
      </c>
      <c r="Q702" s="62" t="s">
        <v>98</v>
      </c>
      <c r="R702" s="63"/>
    </row>
    <row r="703" spans="1:18" s="47" customFormat="1" ht="51">
      <c r="A703" s="63" t="s">
        <v>1480</v>
      </c>
      <c r="B703" s="63" t="s">
        <v>96</v>
      </c>
      <c r="C703" s="63" t="s">
        <v>1481</v>
      </c>
      <c r="D703" s="61"/>
      <c r="E703" s="45">
        <v>0.39</v>
      </c>
      <c r="F703" s="45">
        <v>0.39</v>
      </c>
      <c r="G703" s="66">
        <v>46143</v>
      </c>
      <c r="H703" s="45" t="str">
        <f>IF(ISNUMBER(E703),F703-E703,"N/A")</f>
        <v>N/A</v>
      </c>
      <c r="I703" s="46" t="str">
        <f>IF(E703&lt;&gt;"",IF(F703=E703,"No Change",IF(F703&gt;E703,"Increase","Decrease")),"New")</f>
        <v>Increase</v>
      </c>
      <c r="J703" s="58"/>
      <c r="K703" s="59" t="str">
        <f>IF(LEN(J703)&gt;0,IF(OR(ISLOGICAL(J703),J703="TRUE"),"Yes",""),"")</f>
      </c>
      <c r="L703" s="59"/>
      <c r="M703" s="59"/>
      <c r="N703" s="62" t="str">
        <f>IF(LEN(M703)&gt;0,IF(OR(ISLOGICAL(M703),M703="TRUE"),"Yes",""),"")</f>
      </c>
      <c r="O703" s="59"/>
      <c r="P703" s="62" t="str">
        <f>IF(LEN(O703)&gt;0,IF(OR(ISLOGICAL(O703),O703="TRUE"),"Yes",""),"")</f>
      </c>
      <c r="Q703" s="62" t="s">
        <v>98</v>
      </c>
      <c r="R703" s="63"/>
    </row>
    <row r="704" spans="1:18" s="47" customFormat="1" ht="51">
      <c r="A704" s="63" t="s">
        <v>1482</v>
      </c>
      <c r="B704" s="63" t="s">
        <v>96</v>
      </c>
      <c r="C704" s="63" t="s">
        <v>1483</v>
      </c>
      <c r="D704" s="61"/>
      <c r="E704" s="45">
        <v>0.39</v>
      </c>
      <c r="F704" s="45">
        <v>0.39</v>
      </c>
      <c r="G704" s="66">
        <v>46143</v>
      </c>
      <c r="H704" s="45" t="str">
        <f>IF(ISNUMBER(E704),F704-E704,"N/A")</f>
        <v>N/A</v>
      </c>
      <c r="I704" s="46" t="str">
        <f>IF(E704&lt;&gt;"",IF(F704=E704,"No Change",IF(F704&gt;E704,"Increase","Decrease")),"New")</f>
        <v>Increase</v>
      </c>
      <c r="J704" s="58"/>
      <c r="K704" s="59" t="str">
        <f>IF(LEN(J704)&gt;0,IF(OR(ISLOGICAL(J704),J704="TRUE"),"Yes",""),"")</f>
      </c>
      <c r="L704" s="59"/>
      <c r="M704" s="59"/>
      <c r="N704" s="62" t="str">
        <f>IF(LEN(M704)&gt;0,IF(OR(ISLOGICAL(M704),M704="TRUE"),"Yes",""),"")</f>
      </c>
      <c r="O704" s="59"/>
      <c r="P704" s="62" t="str">
        <f>IF(LEN(O704)&gt;0,IF(OR(ISLOGICAL(O704),O704="TRUE"),"Yes",""),"")</f>
      </c>
      <c r="Q704" s="62" t="s">
        <v>98</v>
      </c>
      <c r="R704" s="63"/>
    </row>
    <row r="705" spans="1:18" s="47" customFormat="1" ht="51">
      <c r="A705" s="63" t="s">
        <v>1484</v>
      </c>
      <c r="B705" s="63" t="s">
        <v>96</v>
      </c>
      <c r="C705" s="63" t="s">
        <v>1485</v>
      </c>
      <c r="D705" s="61"/>
      <c r="E705" s="45">
        <v>0.5</v>
      </c>
      <c r="F705" s="45">
        <v>0.5</v>
      </c>
      <c r="G705" s="66">
        <v>45748</v>
      </c>
      <c r="H705" s="45" t="str">
        <f>IF(ISNUMBER(E705),F705-E705,"N/A")</f>
        <v>N/A</v>
      </c>
      <c r="I705" s="46" t="str">
        <f>IF(E705&lt;&gt;"",IF(F705=E705,"No Change",IF(F705&gt;E705,"Increase","Decrease")),"New")</f>
        <v>Increase</v>
      </c>
      <c r="J705" s="58"/>
      <c r="K705" s="59" t="str">
        <f>IF(LEN(J705)&gt;0,IF(OR(ISLOGICAL(J705),J705="TRUE"),"Yes",""),"")</f>
      </c>
      <c r="L705" s="59"/>
      <c r="M705" s="59"/>
      <c r="N705" s="62" t="str">
        <f>IF(LEN(M705)&gt;0,IF(OR(ISLOGICAL(M705),M705="TRUE"),"Yes",""),"")</f>
      </c>
      <c r="O705" s="59"/>
      <c r="P705" s="62" t="str">
        <f>IF(LEN(O705)&gt;0,IF(OR(ISLOGICAL(O705),O705="TRUE"),"Yes",""),"")</f>
      </c>
      <c r="Q705" s="62" t="s">
        <v>98</v>
      </c>
      <c r="R705" s="63"/>
    </row>
    <row r="706" spans="1:18" s="47" customFormat="1" ht="51">
      <c r="A706" s="63" t="s">
        <v>1486</v>
      </c>
      <c r="B706" s="63" t="s">
        <v>96</v>
      </c>
      <c r="C706" s="63" t="s">
        <v>1487</v>
      </c>
      <c r="D706" s="61"/>
      <c r="E706" s="45">
        <v>0.185</v>
      </c>
      <c r="F706" s="45">
        <v>0.185</v>
      </c>
      <c r="G706" s="66">
        <v>45595</v>
      </c>
      <c r="H706" s="45" t="str">
        <f>IF(ISNUMBER(E706),F706-E706,"N/A")</f>
        <v>N/A</v>
      </c>
      <c r="I706" s="46" t="str">
        <f>IF(E706&lt;&gt;"",IF(F706=E706,"No Change",IF(F706&gt;E706,"Increase","Decrease")),"New")</f>
        <v>Increase</v>
      </c>
      <c r="J706" s="58"/>
      <c r="K706" s="59" t="str">
        <f>IF(LEN(J706)&gt;0,IF(OR(ISLOGICAL(J706),J706="TRUE"),"Yes",""),"")</f>
      </c>
      <c r="L706" s="59"/>
      <c r="M706" s="59"/>
      <c r="N706" s="62" t="str">
        <f>IF(LEN(M706)&gt;0,IF(OR(ISLOGICAL(M706),M706="TRUE"),"Yes",""),"")</f>
      </c>
      <c r="O706" s="59"/>
      <c r="P706" s="62" t="str">
        <f>IF(LEN(O706)&gt;0,IF(OR(ISLOGICAL(O706),O706="TRUE"),"Yes",""),"")</f>
      </c>
      <c r="Q706" s="62" t="s">
        <v>98</v>
      </c>
      <c r="R706" s="63"/>
    </row>
    <row r="707" spans="1:18" s="47" customFormat="1" ht="51">
      <c r="A707" s="63" t="s">
        <v>1488</v>
      </c>
      <c r="B707" s="63" t="s">
        <v>96</v>
      </c>
      <c r="C707" s="63" t="s">
        <v>1489</v>
      </c>
      <c r="D707" s="61"/>
      <c r="E707" s="45">
        <v>0.025</v>
      </c>
      <c r="F707" s="45">
        <v>0.025</v>
      </c>
      <c r="G707" s="66">
        <v>46092</v>
      </c>
      <c r="H707" s="45" t="str">
        <f>IF(ISNUMBER(E707),F707-E707,"N/A")</f>
        <v>N/A</v>
      </c>
      <c r="I707" s="46" t="str">
        <f>IF(E707&lt;&gt;"",IF(F707=E707,"No Change",IF(F707&gt;E707,"Increase","Decrease")),"New")</f>
        <v>Increase</v>
      </c>
      <c r="J707" s="58"/>
      <c r="K707" s="59" t="str">
        <f>IF(LEN(J707)&gt;0,IF(OR(ISLOGICAL(J707),J707="TRUE"),"Yes",""),"")</f>
      </c>
      <c r="L707" s="59"/>
      <c r="M707" s="59"/>
      <c r="N707" s="62" t="str">
        <f>IF(LEN(M707)&gt;0,IF(OR(ISLOGICAL(M707),M707="TRUE"),"Yes",""),"")</f>
      </c>
      <c r="O707" s="59"/>
      <c r="P707" s="62" t="str">
        <f>IF(LEN(O707)&gt;0,IF(OR(ISLOGICAL(O707),O707="TRUE"),"Yes",""),"")</f>
      </c>
      <c r="Q707" s="62" t="s">
        <v>98</v>
      </c>
      <c r="R707" s="63"/>
    </row>
    <row r="708" spans="1:18" s="47" customFormat="1" ht="51">
      <c r="A708" s="63" t="s">
        <v>1490</v>
      </c>
      <c r="B708" s="63" t="s">
        <v>96</v>
      </c>
      <c r="C708" s="63" t="s">
        <v>1491</v>
      </c>
      <c r="D708" s="61"/>
      <c r="E708" s="45">
        <v>0.235</v>
      </c>
      <c r="F708" s="45">
        <v>0.235</v>
      </c>
      <c r="G708" s="66">
        <v>46082</v>
      </c>
      <c r="H708" s="45" t="str">
        <f>IF(ISNUMBER(E708),F708-E708,"N/A")</f>
        <v>N/A</v>
      </c>
      <c r="I708" s="46" t="str">
        <f>IF(E708&lt;&gt;"",IF(F708=E708,"No Change",IF(F708&gt;E708,"Increase","Decrease")),"New")</f>
        <v>Increase</v>
      </c>
      <c r="J708" s="58"/>
      <c r="K708" s="59" t="str">
        <f>IF(LEN(J708)&gt;0,IF(OR(ISLOGICAL(J708),J708="TRUE"),"Yes",""),"")</f>
      </c>
      <c r="L708" s="59"/>
      <c r="M708" s="59"/>
      <c r="N708" s="62" t="str">
        <f>IF(LEN(M708)&gt;0,IF(OR(ISLOGICAL(M708),M708="TRUE"),"Yes",""),"")</f>
      </c>
      <c r="O708" s="59"/>
      <c r="P708" s="62" t="str">
        <f>IF(LEN(O708)&gt;0,IF(OR(ISLOGICAL(O708),O708="TRUE"),"Yes",""),"")</f>
      </c>
      <c r="Q708" s="62" t="s">
        <v>98</v>
      </c>
      <c r="R708" s="63"/>
    </row>
    <row r="709" spans="1:18" s="47" customFormat="1" ht="51">
      <c r="A709" s="63" t="s">
        <v>1492</v>
      </c>
      <c r="B709" s="63" t="s">
        <v>96</v>
      </c>
      <c r="C709" s="63" t="s">
        <v>1493</v>
      </c>
      <c r="D709" s="61"/>
      <c r="E709" s="45">
        <v>0.235</v>
      </c>
      <c r="F709" s="45">
        <v>0.235</v>
      </c>
      <c r="G709" s="66">
        <v>46082</v>
      </c>
      <c r="H709" s="45" t="str">
        <f>IF(ISNUMBER(E709),F709-E709,"N/A")</f>
        <v>N/A</v>
      </c>
      <c r="I709" s="46" t="str">
        <f>IF(E709&lt;&gt;"",IF(F709=E709,"No Change",IF(F709&gt;E709,"Increase","Decrease")),"New")</f>
        <v>Increase</v>
      </c>
      <c r="J709" s="58"/>
      <c r="K709" s="59" t="str">
        <f>IF(LEN(J709)&gt;0,IF(OR(ISLOGICAL(J709),J709="TRUE"),"Yes",""),"")</f>
      </c>
      <c r="L709" s="59"/>
      <c r="M709" s="59"/>
      <c r="N709" s="62" t="str">
        <f>IF(LEN(M709)&gt;0,IF(OR(ISLOGICAL(M709),M709="TRUE"),"Yes",""),"")</f>
      </c>
      <c r="O709" s="59"/>
      <c r="P709" s="62" t="str">
        <f>IF(LEN(O709)&gt;0,IF(OR(ISLOGICAL(O709),O709="TRUE"),"Yes",""),"")</f>
      </c>
      <c r="Q709" s="62" t="s">
        <v>98</v>
      </c>
      <c r="R709" s="63"/>
    </row>
    <row r="710" spans="1:18" s="47" customFormat="1" ht="51">
      <c r="A710" s="63" t="s">
        <v>1494</v>
      </c>
      <c r="B710" s="63" t="s">
        <v>96</v>
      </c>
      <c r="C710" s="63" t="s">
        <v>1495</v>
      </c>
      <c r="D710" s="61"/>
      <c r="E710" s="45">
        <v>0.235</v>
      </c>
      <c r="F710" s="45">
        <v>0.235</v>
      </c>
      <c r="G710" s="66">
        <v>46082</v>
      </c>
      <c r="H710" s="45" t="str">
        <f>IF(ISNUMBER(E710),F710-E710,"N/A")</f>
        <v>N/A</v>
      </c>
      <c r="I710" s="46" t="str">
        <f>IF(E710&lt;&gt;"",IF(F710=E710,"No Change",IF(F710&gt;E710,"Increase","Decrease")),"New")</f>
        <v>Increase</v>
      </c>
      <c r="J710" s="58"/>
      <c r="K710" s="59" t="str">
        <f>IF(LEN(J710)&gt;0,IF(OR(ISLOGICAL(J710),J710="TRUE"),"Yes",""),"")</f>
      </c>
      <c r="L710" s="59"/>
      <c r="M710" s="59"/>
      <c r="N710" s="62" t="str">
        <f>IF(LEN(M710)&gt;0,IF(OR(ISLOGICAL(M710),M710="TRUE"),"Yes",""),"")</f>
      </c>
      <c r="O710" s="59"/>
      <c r="P710" s="62" t="str">
        <f>IF(LEN(O710)&gt;0,IF(OR(ISLOGICAL(O710),O710="TRUE"),"Yes",""),"")</f>
      </c>
      <c r="Q710" s="62" t="s">
        <v>98</v>
      </c>
      <c r="R710" s="63"/>
    </row>
    <row r="711" spans="1:18" s="47" customFormat="1" ht="51">
      <c r="A711" s="63" t="s">
        <v>1496</v>
      </c>
      <c r="B711" s="63" t="s">
        <v>96</v>
      </c>
      <c r="C711" s="63" t="s">
        <v>1497</v>
      </c>
      <c r="D711" s="61"/>
      <c r="E711" s="45">
        <v>0.235</v>
      </c>
      <c r="F711" s="45">
        <v>0.235</v>
      </c>
      <c r="G711" s="66">
        <v>46082</v>
      </c>
      <c r="H711" s="45" t="str">
        <f>IF(ISNUMBER(E711),F711-E711,"N/A")</f>
        <v>N/A</v>
      </c>
      <c r="I711" s="46" t="str">
        <f>IF(E711&lt;&gt;"",IF(F711=E711,"No Change",IF(F711&gt;E711,"Increase","Decrease")),"New")</f>
        <v>Increase</v>
      </c>
      <c r="J711" s="58"/>
      <c r="K711" s="59" t="str">
        <f>IF(LEN(J711)&gt;0,IF(OR(ISLOGICAL(J711),J711="TRUE"),"Yes",""),"")</f>
      </c>
      <c r="L711" s="59"/>
      <c r="M711" s="59"/>
      <c r="N711" s="62" t="str">
        <f>IF(LEN(M711)&gt;0,IF(OR(ISLOGICAL(M711),M711="TRUE"),"Yes",""),"")</f>
      </c>
      <c r="O711" s="59"/>
      <c r="P711" s="62" t="str">
        <f>IF(LEN(O711)&gt;0,IF(OR(ISLOGICAL(O711),O711="TRUE"),"Yes",""),"")</f>
      </c>
      <c r="Q711" s="62" t="s">
        <v>98</v>
      </c>
      <c r="R711" s="63"/>
    </row>
    <row r="712" spans="1:18" s="47" customFormat="1" ht="51">
      <c r="A712" s="63" t="s">
        <v>1498</v>
      </c>
      <c r="B712" s="63" t="s">
        <v>96</v>
      </c>
      <c r="C712" s="63" t="s">
        <v>1499</v>
      </c>
      <c r="D712" s="61"/>
      <c r="E712" s="45">
        <v>0.7</v>
      </c>
      <c r="F712" s="45">
        <v>0.7</v>
      </c>
      <c r="G712" s="66">
        <v>46082</v>
      </c>
      <c r="H712" s="45" t="str">
        <f>IF(ISNUMBER(E712),F712-E712,"N/A")</f>
        <v>N/A</v>
      </c>
      <c r="I712" s="46" t="str">
        <f>IF(E712&lt;&gt;"",IF(F712=E712,"No Change",IF(F712&gt;E712,"Increase","Decrease")),"New")</f>
        <v>Increase</v>
      </c>
      <c r="J712" s="58"/>
      <c r="K712" s="59" t="str">
        <f>IF(LEN(J712)&gt;0,IF(OR(ISLOGICAL(J712),J712="TRUE"),"Yes",""),"")</f>
      </c>
      <c r="L712" s="59"/>
      <c r="M712" s="59"/>
      <c r="N712" s="62" t="str">
        <f>IF(LEN(M712)&gt;0,IF(OR(ISLOGICAL(M712),M712="TRUE"),"Yes",""),"")</f>
      </c>
      <c r="O712" s="59"/>
      <c r="P712" s="62" t="str">
        <f>IF(LEN(O712)&gt;0,IF(OR(ISLOGICAL(O712),O712="TRUE"),"Yes",""),"")</f>
      </c>
      <c r="Q712" s="62" t="s">
        <v>109</v>
      </c>
      <c r="R712" s="63"/>
    </row>
    <row r="713" spans="1:18" s="47" customFormat="1" ht="51">
      <c r="A713" s="63" t="s">
        <v>1500</v>
      </c>
      <c r="B713" s="63" t="s">
        <v>96</v>
      </c>
      <c r="C713" s="63" t="s">
        <v>1501</v>
      </c>
      <c r="D713" s="61"/>
      <c r="E713" s="45">
        <v>0.7</v>
      </c>
      <c r="F713" s="45">
        <v>0.7</v>
      </c>
      <c r="G713" s="66">
        <v>46082</v>
      </c>
      <c r="H713" s="45" t="str">
        <f>IF(ISNUMBER(E713),F713-E713,"N/A")</f>
        <v>N/A</v>
      </c>
      <c r="I713" s="46" t="str">
        <f>IF(E713&lt;&gt;"",IF(F713=E713,"No Change",IF(F713&gt;E713,"Increase","Decrease")),"New")</f>
        <v>Increase</v>
      </c>
      <c r="J713" s="58"/>
      <c r="K713" s="59" t="str">
        <f>IF(LEN(J713)&gt;0,IF(OR(ISLOGICAL(J713),J713="TRUE"),"Yes",""),"")</f>
      </c>
      <c r="L713" s="59"/>
      <c r="M713" s="59"/>
      <c r="N713" s="62" t="str">
        <f>IF(LEN(M713)&gt;0,IF(OR(ISLOGICAL(M713),M713="TRUE"),"Yes",""),"")</f>
      </c>
      <c r="O713" s="59"/>
      <c r="P713" s="62" t="str">
        <f>IF(LEN(O713)&gt;0,IF(OR(ISLOGICAL(O713),O713="TRUE"),"Yes",""),"")</f>
      </c>
      <c r="Q713" s="62" t="s">
        <v>109</v>
      </c>
      <c r="R713" s="63"/>
    </row>
    <row r="714" spans="1:18" s="47" customFormat="1" ht="51">
      <c r="A714" s="63" t="s">
        <v>1502</v>
      </c>
      <c r="B714" s="63" t="s">
        <v>96</v>
      </c>
      <c r="C714" s="63" t="s">
        <v>1503</v>
      </c>
      <c r="D714" s="61"/>
      <c r="E714" s="45">
        <v>0.7</v>
      </c>
      <c r="F714" s="45">
        <v>0.7</v>
      </c>
      <c r="G714" s="66">
        <v>46082</v>
      </c>
      <c r="H714" s="45" t="str">
        <f>IF(ISNUMBER(E714),F714-E714,"N/A")</f>
        <v>N/A</v>
      </c>
      <c r="I714" s="46" t="str">
        <f>IF(E714&lt;&gt;"",IF(F714=E714,"No Change",IF(F714&gt;E714,"Increase","Decrease")),"New")</f>
        <v>Increase</v>
      </c>
      <c r="J714" s="58" t="s">
        <v>122</v>
      </c>
      <c r="K714" s="59" t="str">
        <f>IF(LEN(J714)&gt;0,IF(OR(ISLOGICAL(J714),J714="TRUE"),"Yes",""),"")</f>
      </c>
      <c r="L714" s="59"/>
      <c r="M714" s="59"/>
      <c r="N714" s="62" t="str">
        <f>IF(LEN(M714)&gt;0,IF(OR(ISLOGICAL(M714),M714="TRUE"),"Yes",""),"")</f>
      </c>
      <c r="O714" s="59"/>
      <c r="P714" s="62" t="str">
        <f>IF(LEN(O714)&gt;0,IF(OR(ISLOGICAL(O714),O714="TRUE"),"Yes",""),"")</f>
      </c>
      <c r="Q714" s="62" t="s">
        <v>109</v>
      </c>
      <c r="R714" s="63"/>
    </row>
    <row r="715" spans="1:18" s="47" customFormat="1" ht="51">
      <c r="A715" s="63" t="s">
        <v>1504</v>
      </c>
      <c r="B715" s="63" t="s">
        <v>96</v>
      </c>
      <c r="C715" s="63" t="s">
        <v>1505</v>
      </c>
      <c r="D715" s="61"/>
      <c r="E715" s="45">
        <v>0.7</v>
      </c>
      <c r="F715" s="45">
        <v>0.7</v>
      </c>
      <c r="G715" s="66">
        <v>46082</v>
      </c>
      <c r="H715" s="45" t="str">
        <f>IF(ISNUMBER(E715),F715-E715,"N/A")</f>
        <v>N/A</v>
      </c>
      <c r="I715" s="46" t="str">
        <f>IF(E715&lt;&gt;"",IF(F715=E715,"No Change",IF(F715&gt;E715,"Increase","Decrease")),"New")</f>
        <v>Increase</v>
      </c>
      <c r="J715" s="58" t="s">
        <v>122</v>
      </c>
      <c r="K715" s="59" t="str">
        <f>IF(LEN(J715)&gt;0,IF(OR(ISLOGICAL(J715),J715="TRUE"),"Yes",""),"")</f>
      </c>
      <c r="L715" s="59"/>
      <c r="M715" s="59"/>
      <c r="N715" s="62" t="str">
        <f>IF(LEN(M715)&gt;0,IF(OR(ISLOGICAL(M715),M715="TRUE"),"Yes",""),"")</f>
      </c>
      <c r="O715" s="59"/>
      <c r="P715" s="62" t="str">
        <f>IF(LEN(O715)&gt;0,IF(OR(ISLOGICAL(O715),O715="TRUE"),"Yes",""),"")</f>
      </c>
      <c r="Q715" s="62" t="s">
        <v>109</v>
      </c>
      <c r="R715" s="63"/>
    </row>
    <row r="716" spans="1:18" s="47" customFormat="1" ht="51">
      <c r="A716" s="63" t="s">
        <v>1506</v>
      </c>
      <c r="B716" s="63" t="s">
        <v>96</v>
      </c>
      <c r="C716" s="63" t="s">
        <v>1507</v>
      </c>
      <c r="D716" s="61"/>
      <c r="E716" s="45">
        <v>0.7</v>
      </c>
      <c r="F716" s="45">
        <v>0.7</v>
      </c>
      <c r="G716" s="66">
        <v>46082</v>
      </c>
      <c r="H716" s="45" t="str">
        <f>IF(ISNUMBER(E716),F716-E716,"N/A")</f>
        <v>N/A</v>
      </c>
      <c r="I716" s="46" t="str">
        <f>IF(E716&lt;&gt;"",IF(F716=E716,"No Change",IF(F716&gt;E716,"Increase","Decrease")),"New")</f>
        <v>Increase</v>
      </c>
      <c r="J716" s="58" t="s">
        <v>122</v>
      </c>
      <c r="K716" s="59" t="str">
        <f>IF(LEN(J716)&gt;0,IF(OR(ISLOGICAL(J716),J716="TRUE"),"Yes",""),"")</f>
      </c>
      <c r="L716" s="59"/>
      <c r="M716" s="59"/>
      <c r="N716" s="62" t="str">
        <f>IF(LEN(M716)&gt;0,IF(OR(ISLOGICAL(M716),M716="TRUE"),"Yes",""),"")</f>
      </c>
      <c r="O716" s="59"/>
      <c r="P716" s="62" t="str">
        <f>IF(LEN(O716)&gt;0,IF(OR(ISLOGICAL(O716),O716="TRUE"),"Yes",""),"")</f>
      </c>
      <c r="Q716" s="62" t="s">
        <v>109</v>
      </c>
      <c r="R716" s="63"/>
    </row>
    <row r="717" spans="1:18" s="47" customFormat="1" ht="51">
      <c r="A717" s="63" t="s">
        <v>1508</v>
      </c>
      <c r="B717" s="63" t="s">
        <v>96</v>
      </c>
      <c r="C717" s="63" t="s">
        <v>1509</v>
      </c>
      <c r="D717" s="61"/>
      <c r="E717" s="45">
        <v>0.125</v>
      </c>
      <c r="F717" s="45">
        <v>0.125</v>
      </c>
      <c r="G717" s="66">
        <v>46092</v>
      </c>
      <c r="H717" s="45" t="str">
        <f>IF(ISNUMBER(E717),F717-E717,"N/A")</f>
        <v>N/A</v>
      </c>
      <c r="I717" s="46" t="str">
        <f>IF(E717&lt;&gt;"",IF(F717=E717,"No Change",IF(F717&gt;E717,"Increase","Decrease")),"New")</f>
        <v>Increase</v>
      </c>
      <c r="J717" s="58"/>
      <c r="K717" s="59" t="str">
        <f>IF(LEN(J717)&gt;0,IF(OR(ISLOGICAL(J717),J717="TRUE"),"Yes",""),"")</f>
      </c>
      <c r="L717" s="59"/>
      <c r="M717" s="59"/>
      <c r="N717" s="62" t="str">
        <f>IF(LEN(M717)&gt;0,IF(OR(ISLOGICAL(M717),M717="TRUE"),"Yes",""),"")</f>
      </c>
      <c r="O717" s="59"/>
      <c r="P717" s="62" t="str">
        <f>IF(LEN(O717)&gt;0,IF(OR(ISLOGICAL(O717),O717="TRUE"),"Yes",""),"")</f>
      </c>
      <c r="Q717" s="62" t="s">
        <v>98</v>
      </c>
      <c r="R717" s="63"/>
    </row>
    <row r="718" spans="1:18" s="47" customFormat="1" ht="51">
      <c r="A718" s="63" t="s">
        <v>1510</v>
      </c>
      <c r="B718" s="63" t="s">
        <v>96</v>
      </c>
      <c r="C718" s="63" t="s">
        <v>1511</v>
      </c>
      <c r="D718" s="61"/>
      <c r="E718" s="45">
        <v>0.125</v>
      </c>
      <c r="F718" s="45">
        <v>0.125</v>
      </c>
      <c r="G718" s="66">
        <v>46092</v>
      </c>
      <c r="H718" s="45" t="str">
        <f>IF(ISNUMBER(E718),F718-E718,"N/A")</f>
        <v>N/A</v>
      </c>
      <c r="I718" s="46" t="str">
        <f>IF(E718&lt;&gt;"",IF(F718=E718,"No Change",IF(F718&gt;E718,"Increase","Decrease")),"New")</f>
        <v>Increase</v>
      </c>
      <c r="J718" s="58"/>
      <c r="K718" s="59" t="str">
        <f>IF(LEN(J718)&gt;0,IF(OR(ISLOGICAL(J718),J718="TRUE"),"Yes",""),"")</f>
      </c>
      <c r="L718" s="59"/>
      <c r="M718" s="59"/>
      <c r="N718" s="62" t="str">
        <f>IF(LEN(M718)&gt;0,IF(OR(ISLOGICAL(M718),M718="TRUE"),"Yes",""),"")</f>
      </c>
      <c r="O718" s="59"/>
      <c r="P718" s="62" t="str">
        <f>IF(LEN(O718)&gt;0,IF(OR(ISLOGICAL(O718),O718="TRUE"),"Yes",""),"")</f>
      </c>
      <c r="Q718" s="62" t="s">
        <v>98</v>
      </c>
      <c r="R718" s="63"/>
    </row>
    <row r="719" spans="1:18" s="47" customFormat="1" ht="51">
      <c r="A719" s="63" t="s">
        <v>1512</v>
      </c>
      <c r="B719" s="63" t="s">
        <v>96</v>
      </c>
      <c r="C719" s="63" t="s">
        <v>1513</v>
      </c>
      <c r="D719" s="61"/>
      <c r="E719" s="45">
        <v>0.03</v>
      </c>
      <c r="F719" s="45">
        <v>0.03</v>
      </c>
      <c r="G719" s="66">
        <v>46074</v>
      </c>
      <c r="H719" s="45" t="str">
        <f>IF(ISNUMBER(E719),F719-E719,"N/A")</f>
        <v>N/A</v>
      </c>
      <c r="I719" s="46" t="str">
        <f>IF(E719&lt;&gt;"",IF(F719=E719,"No Change",IF(F719&gt;E719,"Increase","Decrease")),"New")</f>
        <v>Increase</v>
      </c>
      <c r="J719" s="58"/>
      <c r="K719" s="59" t="str">
        <f>IF(LEN(J719)&gt;0,IF(OR(ISLOGICAL(J719),J719="TRUE"),"Yes",""),"")</f>
      </c>
      <c r="L719" s="59"/>
      <c r="M719" s="59"/>
      <c r="N719" s="62" t="str">
        <f>IF(LEN(M719)&gt;0,IF(OR(ISLOGICAL(M719),M719="TRUE"),"Yes",""),"")</f>
      </c>
      <c r="O719" s="59"/>
      <c r="P719" s="62" t="str">
        <f>IF(LEN(O719)&gt;0,IF(OR(ISLOGICAL(O719),O719="TRUE"),"Yes",""),"")</f>
      </c>
      <c r="Q719" s="62" t="s">
        <v>98</v>
      </c>
      <c r="R719" s="63"/>
    </row>
    <row r="720" spans="1:18" s="47" customFormat="1" ht="51">
      <c r="A720" s="63" t="s">
        <v>1514</v>
      </c>
      <c r="B720" s="63" t="s">
        <v>96</v>
      </c>
      <c r="C720" s="63" t="s">
        <v>1515</v>
      </c>
      <c r="D720" s="61"/>
      <c r="E720" s="45">
        <v>0.5</v>
      </c>
      <c r="F720" s="45">
        <v>0.5</v>
      </c>
      <c r="G720" s="66">
        <v>46082</v>
      </c>
      <c r="H720" s="45" t="str">
        <f>IF(ISNUMBER(E720),F720-E720,"N/A")</f>
        <v>N/A</v>
      </c>
      <c r="I720" s="46" t="str">
        <f>IF(E720&lt;&gt;"",IF(F720=E720,"No Change",IF(F720&gt;E720,"Increase","Decrease")),"New")</f>
        <v>Increase</v>
      </c>
      <c r="J720" s="58"/>
      <c r="K720" s="59" t="str">
        <f>IF(LEN(J720)&gt;0,IF(OR(ISLOGICAL(J720),J720="TRUE"),"Yes",""),"")</f>
      </c>
      <c r="L720" s="59"/>
      <c r="M720" s="59"/>
      <c r="N720" s="62" t="str">
        <f>IF(LEN(M720)&gt;0,IF(OR(ISLOGICAL(M720),M720="TRUE"),"Yes",""),"")</f>
      </c>
      <c r="O720" s="59"/>
      <c r="P720" s="62" t="str">
        <f>IF(LEN(O720)&gt;0,IF(OR(ISLOGICAL(O720),O720="TRUE"),"Yes",""),"")</f>
      </c>
      <c r="Q720" s="62" t="s">
        <v>98</v>
      </c>
      <c r="R720" s="63"/>
    </row>
    <row r="721" spans="1:18" s="47" customFormat="1" ht="51">
      <c r="A721" s="63" t="s">
        <v>1516</v>
      </c>
      <c r="B721" s="63" t="s">
        <v>96</v>
      </c>
      <c r="C721" s="63" t="s">
        <v>1517</v>
      </c>
      <c r="D721" s="61"/>
      <c r="E721" s="45">
        <v>0.5</v>
      </c>
      <c r="F721" s="45">
        <v>0.5</v>
      </c>
      <c r="G721" s="66">
        <v>46082</v>
      </c>
      <c r="H721" s="45" t="str">
        <f>IF(ISNUMBER(E721),F721-E721,"N/A")</f>
        <v>N/A</v>
      </c>
      <c r="I721" s="46" t="str">
        <f>IF(E721&lt;&gt;"",IF(F721=E721,"No Change",IF(F721&gt;E721,"Increase","Decrease")),"New")</f>
        <v>Increase</v>
      </c>
      <c r="J721" s="58"/>
      <c r="K721" s="59" t="str">
        <f>IF(LEN(J721)&gt;0,IF(OR(ISLOGICAL(J721),J721="TRUE"),"Yes",""),"")</f>
      </c>
      <c r="L721" s="59"/>
      <c r="M721" s="59"/>
      <c r="N721" s="62" t="str">
        <f>IF(LEN(M721)&gt;0,IF(OR(ISLOGICAL(M721),M721="TRUE"),"Yes",""),"")</f>
      </c>
      <c r="O721" s="59"/>
      <c r="P721" s="62" t="str">
        <f>IF(LEN(O721)&gt;0,IF(OR(ISLOGICAL(O721),O721="TRUE"),"Yes",""),"")</f>
      </c>
      <c r="Q721" s="62" t="s">
        <v>98</v>
      </c>
      <c r="R721" s="63"/>
    </row>
    <row r="722" spans="1:18" s="47" customFormat="1" ht="51">
      <c r="A722" s="63" t="s">
        <v>1518</v>
      </c>
      <c r="B722" s="63" t="s">
        <v>96</v>
      </c>
      <c r="C722" s="63" t="s">
        <v>1519</v>
      </c>
      <c r="D722" s="61"/>
      <c r="E722" s="45">
        <v>0.5</v>
      </c>
      <c r="F722" s="45">
        <v>0.5</v>
      </c>
      <c r="G722" s="66">
        <v>46082</v>
      </c>
      <c r="H722" s="45" t="str">
        <f>IF(ISNUMBER(E722),F722-E722,"N/A")</f>
        <v>N/A</v>
      </c>
      <c r="I722" s="46" t="str">
        <f>IF(E722&lt;&gt;"",IF(F722=E722,"No Change",IF(F722&gt;E722,"Increase","Decrease")),"New")</f>
        <v>Increase</v>
      </c>
      <c r="J722" s="58"/>
      <c r="K722" s="59" t="str">
        <f>IF(LEN(J722)&gt;0,IF(OR(ISLOGICAL(J722),J722="TRUE"),"Yes",""),"")</f>
      </c>
      <c r="L722" s="59"/>
      <c r="M722" s="59"/>
      <c r="N722" s="62" t="str">
        <f>IF(LEN(M722)&gt;0,IF(OR(ISLOGICAL(M722),M722="TRUE"),"Yes",""),"")</f>
      </c>
      <c r="O722" s="59"/>
      <c r="P722" s="62" t="str">
        <f>IF(LEN(O722)&gt;0,IF(OR(ISLOGICAL(O722),O722="TRUE"),"Yes",""),"")</f>
      </c>
      <c r="Q722" s="62" t="s">
        <v>98</v>
      </c>
      <c r="R722" s="63"/>
    </row>
    <row r="723" spans="1:18" s="47" customFormat="1" ht="51">
      <c r="A723" s="63" t="s">
        <v>1520</v>
      </c>
      <c r="B723" s="63" t="s">
        <v>96</v>
      </c>
      <c r="C723" s="63" t="s">
        <v>1521</v>
      </c>
      <c r="D723" s="61"/>
      <c r="E723" s="45">
        <v>0.5</v>
      </c>
      <c r="F723" s="45">
        <v>0.5</v>
      </c>
      <c r="G723" s="66">
        <v>46082</v>
      </c>
      <c r="H723" s="45" t="str">
        <f>IF(ISNUMBER(E723),F723-E723,"N/A")</f>
        <v>N/A</v>
      </c>
      <c r="I723" s="46" t="str">
        <f>IF(E723&lt;&gt;"",IF(F723=E723,"No Change",IF(F723&gt;E723,"Increase","Decrease")),"New")</f>
        <v>Increase</v>
      </c>
      <c r="J723" s="58"/>
      <c r="K723" s="59" t="str">
        <f>IF(LEN(J723)&gt;0,IF(OR(ISLOGICAL(J723),J723="TRUE"),"Yes",""),"")</f>
      </c>
      <c r="L723" s="59"/>
      <c r="M723" s="59"/>
      <c r="N723" s="62" t="str">
        <f>IF(LEN(M723)&gt;0,IF(OR(ISLOGICAL(M723),M723="TRUE"),"Yes",""),"")</f>
      </c>
      <c r="O723" s="59"/>
      <c r="P723" s="62" t="str">
        <f>IF(LEN(O723)&gt;0,IF(OR(ISLOGICAL(O723),O723="TRUE"),"Yes",""),"")</f>
      </c>
      <c r="Q723" s="62" t="s">
        <v>98</v>
      </c>
      <c r="R723" s="63"/>
    </row>
    <row r="724" spans="1:18" s="47" customFormat="1" ht="51">
      <c r="A724" s="63" t="s">
        <v>1522</v>
      </c>
      <c r="B724" s="63" t="s">
        <v>96</v>
      </c>
      <c r="C724" s="63" t="s">
        <v>1523</v>
      </c>
      <c r="D724" s="61"/>
      <c r="E724" s="45">
        <v>0.003</v>
      </c>
      <c r="F724" s="45">
        <v>0.003</v>
      </c>
      <c r="G724" s="66">
        <v>46074</v>
      </c>
      <c r="H724" s="45" t="str">
        <f>IF(ISNUMBER(E724),F724-E724,"N/A")</f>
        <v>N/A</v>
      </c>
      <c r="I724" s="46" t="str">
        <f>IF(E724&lt;&gt;"",IF(F724=E724,"No Change",IF(F724&gt;E724,"Increase","Decrease")),"New")</f>
        <v>Increase</v>
      </c>
      <c r="J724" s="58"/>
      <c r="K724" s="59" t="str">
        <f>IF(LEN(J724)&gt;0,IF(OR(ISLOGICAL(J724),J724="TRUE"),"Yes",""),"")</f>
      </c>
      <c r="L724" s="59"/>
      <c r="M724" s="59"/>
      <c r="N724" s="62" t="str">
        <f>IF(LEN(M724)&gt;0,IF(OR(ISLOGICAL(M724),M724="TRUE"),"Yes",""),"")</f>
      </c>
      <c r="O724" s="59"/>
      <c r="P724" s="62" t="str">
        <f>IF(LEN(O724)&gt;0,IF(OR(ISLOGICAL(O724),O724="TRUE"),"Yes",""),"")</f>
      </c>
      <c r="Q724" s="62" t="s">
        <v>109</v>
      </c>
      <c r="R724" s="63"/>
    </row>
    <row r="725" spans="1:18" s="47" customFormat="1" ht="51">
      <c r="A725" s="63" t="s">
        <v>1524</v>
      </c>
      <c r="B725" s="63" t="s">
        <v>96</v>
      </c>
      <c r="C725" s="63" t="s">
        <v>1525</v>
      </c>
      <c r="D725" s="61"/>
      <c r="E725" s="45">
        <v>0.003</v>
      </c>
      <c r="F725" s="45">
        <v>0.003</v>
      </c>
      <c r="G725" s="66">
        <v>46082</v>
      </c>
      <c r="H725" s="45" t="str">
        <f>IF(ISNUMBER(E725),F725-E725,"N/A")</f>
        <v>N/A</v>
      </c>
      <c r="I725" s="46" t="str">
        <f>IF(E725&lt;&gt;"",IF(F725=E725,"No Change",IF(F725&gt;E725,"Increase","Decrease")),"New")</f>
        <v>Increase</v>
      </c>
      <c r="J725" s="58"/>
      <c r="K725" s="59" t="str">
        <f>IF(LEN(J725)&gt;0,IF(OR(ISLOGICAL(J725),J725="TRUE"),"Yes",""),"")</f>
      </c>
      <c r="L725" s="59"/>
      <c r="M725" s="59"/>
      <c r="N725" s="62" t="str">
        <f>IF(LEN(M725)&gt;0,IF(OR(ISLOGICAL(M725),M725="TRUE"),"Yes",""),"")</f>
      </c>
      <c r="O725" s="59"/>
      <c r="P725" s="62" t="str">
        <f>IF(LEN(O725)&gt;0,IF(OR(ISLOGICAL(O725),O725="TRUE"),"Yes",""),"")</f>
      </c>
      <c r="Q725" s="62" t="s">
        <v>109</v>
      </c>
      <c r="R725" s="63"/>
    </row>
    <row r="726" spans="1:18" s="47" customFormat="1" ht="51">
      <c r="A726" s="63" t="s">
        <v>1526</v>
      </c>
      <c r="B726" s="63" t="s">
        <v>96</v>
      </c>
      <c r="C726" s="63" t="s">
        <v>1527</v>
      </c>
      <c r="D726" s="61"/>
      <c r="E726" s="45">
        <v>0.3599</v>
      </c>
      <c r="F726" s="45">
        <v>0.3599</v>
      </c>
      <c r="G726" s="66">
        <v>46143</v>
      </c>
      <c r="H726" s="45" t="str">
        <f>IF(ISNUMBER(E726),F726-E726,"N/A")</f>
        <v>N/A</v>
      </c>
      <c r="I726" s="46" t="str">
        <f>IF(E726&lt;&gt;"",IF(F726=E726,"No Change",IF(F726&gt;E726,"Increase","Decrease")),"New")</f>
        <v>Increase</v>
      </c>
      <c r="J726" s="58"/>
      <c r="K726" s="59" t="str">
        <f>IF(LEN(J726)&gt;0,IF(OR(ISLOGICAL(J726),J726="TRUE"),"Yes",""),"")</f>
      </c>
      <c r="L726" s="59"/>
      <c r="M726" s="59"/>
      <c r="N726" s="62" t="str">
        <f>IF(LEN(M726)&gt;0,IF(OR(ISLOGICAL(M726),M726="TRUE"),"Yes",""),"")</f>
      </c>
      <c r="O726" s="59"/>
      <c r="P726" s="62" t="str">
        <f>IF(LEN(O726)&gt;0,IF(OR(ISLOGICAL(O726),O726="TRUE"),"Yes",""),"")</f>
      </c>
      <c r="Q726" s="62" t="s">
        <v>109</v>
      </c>
      <c r="R726" s="63"/>
    </row>
    <row r="727" spans="1:18" s="47" customFormat="1" ht="51">
      <c r="A727" s="63" t="s">
        <v>1528</v>
      </c>
      <c r="B727" s="63" t="s">
        <v>96</v>
      </c>
      <c r="C727" s="63" t="s">
        <v>1529</v>
      </c>
      <c r="D727" s="61"/>
      <c r="E727" s="45">
        <v>0.3599</v>
      </c>
      <c r="F727" s="45">
        <v>0.3599</v>
      </c>
      <c r="G727" s="66">
        <v>46143</v>
      </c>
      <c r="H727" s="45" t="str">
        <f>IF(ISNUMBER(E727),F727-E727,"N/A")</f>
        <v>N/A</v>
      </c>
      <c r="I727" s="46" t="str">
        <f>IF(E727&lt;&gt;"",IF(F727=E727,"No Change",IF(F727&gt;E727,"Increase","Decrease")),"New")</f>
        <v>Increase</v>
      </c>
      <c r="J727" s="58"/>
      <c r="K727" s="59" t="str">
        <f>IF(LEN(J727)&gt;0,IF(OR(ISLOGICAL(J727),J727="TRUE"),"Yes",""),"")</f>
      </c>
      <c r="L727" s="59"/>
      <c r="M727" s="59"/>
      <c r="N727" s="62" t="str">
        <f>IF(LEN(M727)&gt;0,IF(OR(ISLOGICAL(M727),M727="TRUE"),"Yes",""),"")</f>
      </c>
      <c r="O727" s="59"/>
      <c r="P727" s="62" t="str">
        <f>IF(LEN(O727)&gt;0,IF(OR(ISLOGICAL(O727),O727="TRUE"),"Yes",""),"")</f>
      </c>
      <c r="Q727" s="62" t="s">
        <v>98</v>
      </c>
      <c r="R727" s="63"/>
    </row>
    <row r="728" spans="1:18" s="47" customFormat="1" ht="51">
      <c r="A728" s="63" t="s">
        <v>1530</v>
      </c>
      <c r="B728" s="63" t="s">
        <v>96</v>
      </c>
      <c r="C728" s="63" t="s">
        <v>1531</v>
      </c>
      <c r="D728" s="61"/>
      <c r="E728" s="45">
        <v>0.21</v>
      </c>
      <c r="F728" s="45">
        <v>0.21</v>
      </c>
      <c r="G728" s="66">
        <v>46092</v>
      </c>
      <c r="H728" s="45" t="str">
        <f>IF(ISNUMBER(E728),F728-E728,"N/A")</f>
        <v>N/A</v>
      </c>
      <c r="I728" s="46" t="str">
        <f>IF(E728&lt;&gt;"",IF(F728=E728,"No Change",IF(F728&gt;E728,"Increase","Decrease")),"New")</f>
        <v>Increase</v>
      </c>
      <c r="J728" s="58"/>
      <c r="K728" s="59" t="str">
        <f>IF(LEN(J728)&gt;0,IF(OR(ISLOGICAL(J728),J728="TRUE"),"Yes",""),"")</f>
      </c>
      <c r="L728" s="59"/>
      <c r="M728" s="59"/>
      <c r="N728" s="62" t="str">
        <f>IF(LEN(M728)&gt;0,IF(OR(ISLOGICAL(M728),M728="TRUE"),"Yes",""),"")</f>
      </c>
      <c r="O728" s="59"/>
      <c r="P728" s="62" t="str">
        <f>IF(LEN(O728)&gt;0,IF(OR(ISLOGICAL(O728),O728="TRUE"),"Yes",""),"")</f>
      </c>
      <c r="Q728" s="62" t="s">
        <v>98</v>
      </c>
      <c r="R728" s="63"/>
    </row>
    <row r="729" spans="1:18" s="47" customFormat="1" ht="51">
      <c r="A729" s="63" t="s">
        <v>1532</v>
      </c>
      <c r="B729" s="63" t="s">
        <v>96</v>
      </c>
      <c r="C729" s="63" t="s">
        <v>1533</v>
      </c>
      <c r="D729" s="61"/>
      <c r="E729" s="45">
        <v>0.18</v>
      </c>
      <c r="F729" s="45">
        <v>0.18</v>
      </c>
      <c r="G729" s="66">
        <v>46078</v>
      </c>
      <c r="H729" s="45" t="str">
        <f>IF(ISNUMBER(E729),F729-E729,"N/A")</f>
        <v>N/A</v>
      </c>
      <c r="I729" s="46" t="str">
        <f>IF(E729&lt;&gt;"",IF(F729=E729,"No Change",IF(F729&gt;E729,"Increase","Decrease")),"New")</f>
        <v>Increase</v>
      </c>
      <c r="J729" s="58" t="s">
        <v>122</v>
      </c>
      <c r="K729" s="59" t="str">
        <f>IF(LEN(J729)&gt;0,IF(OR(ISLOGICAL(J729),J729="TRUE"),"Yes",""),"")</f>
      </c>
      <c r="L729" s="59"/>
      <c r="M729" s="59"/>
      <c r="N729" s="62" t="str">
        <f>IF(LEN(M729)&gt;0,IF(OR(ISLOGICAL(M729),M729="TRUE"),"Yes",""),"")</f>
      </c>
      <c r="O729" s="59"/>
      <c r="P729" s="62" t="str">
        <f>IF(LEN(O729)&gt;0,IF(OR(ISLOGICAL(O729),O729="TRUE"),"Yes",""),"")</f>
      </c>
      <c r="Q729" s="62" t="s">
        <v>98</v>
      </c>
      <c r="R729" s="63"/>
    </row>
    <row r="730" spans="1:18" s="47" customFormat="1" ht="51">
      <c r="A730" s="63" t="s">
        <v>1534</v>
      </c>
      <c r="B730" s="63" t="s">
        <v>96</v>
      </c>
      <c r="C730" s="63" t="s">
        <v>1535</v>
      </c>
      <c r="D730" s="61"/>
      <c r="E730" s="45">
        <v>0.21</v>
      </c>
      <c r="F730" s="45">
        <v>0.21</v>
      </c>
      <c r="G730" s="66">
        <v>46082</v>
      </c>
      <c r="H730" s="45" t="str">
        <f>IF(ISNUMBER(E730),F730-E730,"N/A")</f>
        <v>N/A</v>
      </c>
      <c r="I730" s="46" t="str">
        <f>IF(E730&lt;&gt;"",IF(F730=E730,"No Change",IF(F730&gt;E730,"Increase","Decrease")),"New")</f>
        <v>Increase</v>
      </c>
      <c r="J730" s="58"/>
      <c r="K730" s="59" t="str">
        <f>IF(LEN(J730)&gt;0,IF(OR(ISLOGICAL(J730),J730="TRUE"),"Yes",""),"")</f>
      </c>
      <c r="L730" s="59"/>
      <c r="M730" s="59"/>
      <c r="N730" s="62" t="str">
        <f>IF(LEN(M730)&gt;0,IF(OR(ISLOGICAL(M730),M730="TRUE"),"Yes",""),"")</f>
      </c>
      <c r="O730" s="59"/>
      <c r="P730" s="62" t="str">
        <f>IF(LEN(O730)&gt;0,IF(OR(ISLOGICAL(O730),O730="TRUE"),"Yes",""),"")</f>
      </c>
      <c r="Q730" s="62" t="s">
        <v>98</v>
      </c>
      <c r="R730" s="63"/>
    </row>
    <row r="731" spans="1:18" s="47" customFormat="1" ht="51">
      <c r="A731" s="63" t="s">
        <v>1536</v>
      </c>
      <c r="B731" s="63" t="s">
        <v>96</v>
      </c>
      <c r="C731" s="63" t="s">
        <v>1537</v>
      </c>
      <c r="D731" s="61"/>
      <c r="E731" s="45">
        <v>0.21</v>
      </c>
      <c r="F731" s="45">
        <v>0.21</v>
      </c>
      <c r="G731" s="66">
        <v>45170</v>
      </c>
      <c r="H731" s="45" t="str">
        <f>IF(ISNUMBER(E731),F731-E731,"N/A")</f>
        <v>N/A</v>
      </c>
      <c r="I731" s="46" t="str">
        <f>IF(E731&lt;&gt;"",IF(F731=E731,"No Change",IF(F731&gt;E731,"Increase","Decrease")),"New")</f>
        <v>Increase</v>
      </c>
      <c r="J731" s="58" t="s">
        <v>122</v>
      </c>
      <c r="K731" s="59" t="str">
        <f>IF(LEN(J731)&gt;0,IF(OR(ISLOGICAL(J731),J731="TRUE"),"Yes",""),"")</f>
      </c>
      <c r="L731" s="59"/>
      <c r="M731" s="59"/>
      <c r="N731" s="62" t="str">
        <f>IF(LEN(M731)&gt;0,IF(OR(ISLOGICAL(M731),M731="TRUE"),"Yes",""),"")</f>
      </c>
      <c r="O731" s="59"/>
      <c r="P731" s="62" t="str">
        <f>IF(LEN(O731)&gt;0,IF(OR(ISLOGICAL(O731),O731="TRUE"),"Yes",""),"")</f>
      </c>
      <c r="Q731" s="62" t="s">
        <v>98</v>
      </c>
      <c r="R731" s="63"/>
    </row>
    <row r="732" spans="1:18" s="47" customFormat="1" ht="51">
      <c r="A732" s="63" t="s">
        <v>1538</v>
      </c>
      <c r="B732" s="63" t="s">
        <v>96</v>
      </c>
      <c r="C732" s="63" t="s">
        <v>1539</v>
      </c>
      <c r="D732" s="61"/>
      <c r="E732" s="45">
        <v>0.24</v>
      </c>
      <c r="F732" s="45">
        <v>0.24</v>
      </c>
      <c r="G732" s="66">
        <v>46085</v>
      </c>
      <c r="H732" s="45" t="str">
        <f>IF(ISNUMBER(E732),F732-E732,"N/A")</f>
        <v>N/A</v>
      </c>
      <c r="I732" s="46" t="str">
        <f>IF(E732&lt;&gt;"",IF(F732=E732,"No Change",IF(F732&gt;E732,"Increase","Decrease")),"New")</f>
        <v>Increase</v>
      </c>
      <c r="J732" s="58" t="s">
        <v>122</v>
      </c>
      <c r="K732" s="59" t="str">
        <f>IF(LEN(J732)&gt;0,IF(OR(ISLOGICAL(J732),J732="TRUE"),"Yes",""),"")</f>
      </c>
      <c r="L732" s="59"/>
      <c r="M732" s="59"/>
      <c r="N732" s="62" t="str">
        <f>IF(LEN(M732)&gt;0,IF(OR(ISLOGICAL(M732),M732="TRUE"),"Yes",""),"")</f>
      </c>
      <c r="O732" s="59"/>
      <c r="P732" s="62" t="str">
        <f>IF(LEN(O732)&gt;0,IF(OR(ISLOGICAL(O732),O732="TRUE"),"Yes",""),"")</f>
      </c>
      <c r="Q732" s="62" t="s">
        <v>98</v>
      </c>
      <c r="R732" s="63"/>
    </row>
    <row r="733" spans="1:18" s="47" customFormat="1" ht="51">
      <c r="A733" s="63" t="s">
        <v>1540</v>
      </c>
      <c r="B733" s="63" t="s">
        <v>96</v>
      </c>
      <c r="C733" s="63" t="s">
        <v>1541</v>
      </c>
      <c r="D733" s="61"/>
      <c r="E733" s="45">
        <v>0.21</v>
      </c>
      <c r="F733" s="45">
        <v>0.21</v>
      </c>
      <c r="G733" s="66">
        <v>46082</v>
      </c>
      <c r="H733" s="45" t="str">
        <f>IF(ISNUMBER(E733),F733-E733,"N/A")</f>
        <v>N/A</v>
      </c>
      <c r="I733" s="46" t="str">
        <f>IF(E733&lt;&gt;"",IF(F733=E733,"No Change",IF(F733&gt;E733,"Increase","Decrease")),"New")</f>
        <v>Increase</v>
      </c>
      <c r="J733" s="58"/>
      <c r="K733" s="59" t="str">
        <f>IF(LEN(J733)&gt;0,IF(OR(ISLOGICAL(J733),J733="TRUE"),"Yes",""),"")</f>
      </c>
      <c r="L733" s="59"/>
      <c r="M733" s="59"/>
      <c r="N733" s="62" t="str">
        <f>IF(LEN(M733)&gt;0,IF(OR(ISLOGICAL(M733),M733="TRUE"),"Yes",""),"")</f>
      </c>
      <c r="O733" s="59"/>
      <c r="P733" s="62" t="str">
        <f>IF(LEN(O733)&gt;0,IF(OR(ISLOGICAL(O733),O733="TRUE"),"Yes",""),"")</f>
      </c>
      <c r="Q733" s="62" t="s">
        <v>98</v>
      </c>
      <c r="R733" s="63"/>
    </row>
    <row r="734" spans="1:18" s="47" customFormat="1" ht="51">
      <c r="A734" s="63" t="s">
        <v>1542</v>
      </c>
      <c r="B734" s="63" t="s">
        <v>96</v>
      </c>
      <c r="C734" s="63" t="s">
        <v>1543</v>
      </c>
      <c r="D734" s="61"/>
      <c r="E734" s="45">
        <v>0.285</v>
      </c>
      <c r="F734" s="45">
        <v>0.285</v>
      </c>
      <c r="G734" s="66">
        <v>46085</v>
      </c>
      <c r="H734" s="45" t="str">
        <f>IF(ISNUMBER(E734),F734-E734,"N/A")</f>
        <v>N/A</v>
      </c>
      <c r="I734" s="46" t="str">
        <f>IF(E734&lt;&gt;"",IF(F734=E734,"No Change",IF(F734&gt;E734,"Increase","Decrease")),"New")</f>
        <v>Increase</v>
      </c>
      <c r="J734" s="58"/>
      <c r="K734" s="59" t="str">
        <f>IF(LEN(J734)&gt;0,IF(OR(ISLOGICAL(J734),J734="TRUE"),"Yes",""),"")</f>
      </c>
      <c r="L734" s="59"/>
      <c r="M734" s="59"/>
      <c r="N734" s="62" t="str">
        <f>IF(LEN(M734)&gt;0,IF(OR(ISLOGICAL(M734),M734="TRUE"),"Yes",""),"")</f>
      </c>
      <c r="O734" s="59"/>
      <c r="P734" s="62" t="str">
        <f>IF(LEN(O734)&gt;0,IF(OR(ISLOGICAL(O734),O734="TRUE"),"Yes",""),"")</f>
      </c>
      <c r="Q734" s="62" t="s">
        <v>98</v>
      </c>
      <c r="R734" s="63"/>
    </row>
    <row r="735" spans="1:18" s="47" customFormat="1" ht="51">
      <c r="A735" s="63" t="s">
        <v>1544</v>
      </c>
      <c r="B735" s="63" t="s">
        <v>96</v>
      </c>
      <c r="C735" s="63" t="s">
        <v>1545</v>
      </c>
      <c r="D735" s="61"/>
      <c r="E735" s="45">
        <v>0.0565</v>
      </c>
      <c r="F735" s="45">
        <v>0.0565</v>
      </c>
      <c r="G735" s="66">
        <v>43313</v>
      </c>
      <c r="H735" s="45" t="str">
        <f>IF(ISNUMBER(E735),F735-E735,"N/A")</f>
        <v>N/A</v>
      </c>
      <c r="I735" s="46" t="str">
        <f>IF(E735&lt;&gt;"",IF(F735=E735,"No Change",IF(F735&gt;E735,"Increase","Decrease")),"New")</f>
        <v>Increase</v>
      </c>
      <c r="J735" s="58"/>
      <c r="K735" s="59" t="str">
        <f>IF(LEN(J735)&gt;0,IF(OR(ISLOGICAL(J735),J735="TRUE"),"Yes",""),"")</f>
      </c>
      <c r="L735" s="59"/>
      <c r="M735" s="59"/>
      <c r="N735" s="62" t="str">
        <f>IF(LEN(M735)&gt;0,IF(OR(ISLOGICAL(M735),M735="TRUE"),"Yes",""),"")</f>
      </c>
      <c r="O735" s="59"/>
      <c r="P735" s="62" t="str">
        <f>IF(LEN(O735)&gt;0,IF(OR(ISLOGICAL(O735),O735="TRUE"),"Yes",""),"")</f>
      </c>
      <c r="Q735" s="62" t="s">
        <v>98</v>
      </c>
      <c r="R735" s="63"/>
    </row>
    <row r="736" spans="1:18" s="47" customFormat="1" ht="51">
      <c r="A736" s="63" t="s">
        <v>1546</v>
      </c>
      <c r="B736" s="63" t="s">
        <v>96</v>
      </c>
      <c r="C736" s="63" t="s">
        <v>1547</v>
      </c>
      <c r="D736" s="61"/>
      <c r="E736" s="45">
        <v>0.242</v>
      </c>
      <c r="F736" s="45">
        <v>0.242</v>
      </c>
      <c r="G736" s="66">
        <v>46092</v>
      </c>
      <c r="H736" s="45" t="str">
        <f>IF(ISNUMBER(E736),F736-E736,"N/A")</f>
        <v>N/A</v>
      </c>
      <c r="I736" s="46" t="str">
        <f>IF(E736&lt;&gt;"",IF(F736=E736,"No Change",IF(F736&gt;E736,"Increase","Decrease")),"New")</f>
        <v>Increase</v>
      </c>
      <c r="J736" s="58" t="s">
        <v>122</v>
      </c>
      <c r="K736" s="59" t="str">
        <f>IF(LEN(J736)&gt;0,IF(OR(ISLOGICAL(J736),J736="TRUE"),"Yes",""),"")</f>
      </c>
      <c r="L736" s="59"/>
      <c r="M736" s="59"/>
      <c r="N736" s="62" t="str">
        <f>IF(LEN(M736)&gt;0,IF(OR(ISLOGICAL(M736),M736="TRUE"),"Yes",""),"")</f>
      </c>
      <c r="O736" s="59"/>
      <c r="P736" s="62" t="str">
        <f>IF(LEN(O736)&gt;0,IF(OR(ISLOGICAL(O736),O736="TRUE"),"Yes",""),"")</f>
      </c>
      <c r="Q736" s="62" t="s">
        <v>98</v>
      </c>
      <c r="R736" s="63"/>
    </row>
    <row r="737" spans="1:18" s="47" customFormat="1" ht="51">
      <c r="A737" s="63" t="s">
        <v>1548</v>
      </c>
      <c r="B737" s="63" t="s">
        <v>96</v>
      </c>
      <c r="C737" s="63" t="s">
        <v>1549</v>
      </c>
      <c r="D737" s="61"/>
      <c r="E737" s="45">
        <v>0.45</v>
      </c>
      <c r="F737" s="45">
        <v>0.45</v>
      </c>
      <c r="G737" s="66">
        <v>46085</v>
      </c>
      <c r="H737" s="45" t="str">
        <f>IF(ISNUMBER(E737),F737-E737,"N/A")</f>
        <v>N/A</v>
      </c>
      <c r="I737" s="46" t="str">
        <f>IF(E737&lt;&gt;"",IF(F737=E737,"No Change",IF(F737&gt;E737,"Increase","Decrease")),"New")</f>
        <v>Increase</v>
      </c>
      <c r="J737" s="58" t="s">
        <v>122</v>
      </c>
      <c r="K737" s="59" t="str">
        <f>IF(LEN(J737)&gt;0,IF(OR(ISLOGICAL(J737),J737="TRUE"),"Yes",""),"")</f>
      </c>
      <c r="L737" s="59"/>
      <c r="M737" s="59"/>
      <c r="N737" s="62" t="str">
        <f>IF(LEN(M737)&gt;0,IF(OR(ISLOGICAL(M737),M737="TRUE"),"Yes",""),"")</f>
      </c>
      <c r="O737" s="59"/>
      <c r="P737" s="62" t="str">
        <f>IF(LEN(O737)&gt;0,IF(OR(ISLOGICAL(O737),O737="TRUE"),"Yes",""),"")</f>
      </c>
      <c r="Q737" s="62" t="s">
        <v>98</v>
      </c>
      <c r="R737" s="63"/>
    </row>
    <row r="738" spans="1:18" s="47" customFormat="1" ht="51">
      <c r="A738" s="63" t="s">
        <v>1550</v>
      </c>
      <c r="B738" s="63" t="s">
        <v>96</v>
      </c>
      <c r="C738" s="63" t="s">
        <v>1551</v>
      </c>
      <c r="D738" s="61"/>
      <c r="E738" s="45">
        <v>0.0099</v>
      </c>
      <c r="F738" s="45">
        <v>0.0099</v>
      </c>
      <c r="G738" s="66">
        <v>46092</v>
      </c>
      <c r="H738" s="45" t="str">
        <f>IF(ISNUMBER(E738),F738-E738,"N/A")</f>
        <v>N/A</v>
      </c>
      <c r="I738" s="46" t="str">
        <f>IF(E738&lt;&gt;"",IF(F738=E738,"No Change",IF(F738&gt;E738,"Increase","Decrease")),"New")</f>
        <v>Increase</v>
      </c>
      <c r="J738" s="58"/>
      <c r="K738" s="59" t="str">
        <f>IF(LEN(J738)&gt;0,IF(OR(ISLOGICAL(J738),J738="TRUE"),"Yes",""),"")</f>
      </c>
      <c r="L738" s="59"/>
      <c r="M738" s="59"/>
      <c r="N738" s="62" t="str">
        <f>IF(LEN(M738)&gt;0,IF(OR(ISLOGICAL(M738),M738="TRUE"),"Yes",""),"")</f>
      </c>
      <c r="O738" s="59"/>
      <c r="P738" s="62" t="str">
        <f>IF(LEN(O738)&gt;0,IF(OR(ISLOGICAL(O738),O738="TRUE"),"Yes",""),"")</f>
      </c>
      <c r="Q738" s="62" t="s">
        <v>98</v>
      </c>
      <c r="R738" s="63"/>
    </row>
    <row r="739" spans="1:18" s="47" customFormat="1" ht="51">
      <c r="A739" s="63" t="s">
        <v>1552</v>
      </c>
      <c r="B739" s="63" t="s">
        <v>96</v>
      </c>
      <c r="C739" s="63" t="s">
        <v>1553</v>
      </c>
      <c r="D739" s="61"/>
      <c r="E739" s="45">
        <v>0.0099</v>
      </c>
      <c r="F739" s="45">
        <v>0.0099</v>
      </c>
      <c r="G739" s="66">
        <v>46092</v>
      </c>
      <c r="H739" s="45" t="str">
        <f>IF(ISNUMBER(E739),F739-E739,"N/A")</f>
        <v>N/A</v>
      </c>
      <c r="I739" s="46" t="str">
        <f>IF(E739&lt;&gt;"",IF(F739=E739,"No Change",IF(F739&gt;E739,"Increase","Decrease")),"New")</f>
        <v>Increase</v>
      </c>
      <c r="J739" s="58"/>
      <c r="K739" s="59" t="str">
        <f>IF(LEN(J739)&gt;0,IF(OR(ISLOGICAL(J739),J739="TRUE"),"Yes",""),"")</f>
      </c>
      <c r="L739" s="59"/>
      <c r="M739" s="59"/>
      <c r="N739" s="62" t="str">
        <f>IF(LEN(M739)&gt;0,IF(OR(ISLOGICAL(M739),M739="TRUE"),"Yes",""),"")</f>
      </c>
      <c r="O739" s="59"/>
      <c r="P739" s="62" t="str">
        <f>IF(LEN(O739)&gt;0,IF(OR(ISLOGICAL(O739),O739="TRUE"),"Yes",""),"")</f>
      </c>
      <c r="Q739" s="62" t="s">
        <v>98</v>
      </c>
      <c r="R739" s="63"/>
    </row>
    <row r="740" spans="1:18" s="47" customFormat="1" ht="51">
      <c r="A740" s="63" t="s">
        <v>1554</v>
      </c>
      <c r="B740" s="63" t="s">
        <v>96</v>
      </c>
      <c r="C740" s="63" t="s">
        <v>1555</v>
      </c>
      <c r="D740" s="61"/>
      <c r="E740" s="45">
        <v>0.34</v>
      </c>
      <c r="F740" s="45">
        <v>0.34</v>
      </c>
      <c r="G740" s="66">
        <v>46078</v>
      </c>
      <c r="H740" s="45" t="str">
        <f>IF(ISNUMBER(E740),F740-E740,"N/A")</f>
        <v>N/A</v>
      </c>
      <c r="I740" s="46" t="str">
        <f>IF(E740&lt;&gt;"",IF(F740=E740,"No Change",IF(F740&gt;E740,"Increase","Decrease")),"New")</f>
        <v>Increase</v>
      </c>
      <c r="J740" s="58"/>
      <c r="K740" s="59" t="str">
        <f>IF(LEN(J740)&gt;0,IF(OR(ISLOGICAL(J740),J740="TRUE"),"Yes",""),"")</f>
      </c>
      <c r="L740" s="59"/>
      <c r="M740" s="59"/>
      <c r="N740" s="62" t="str">
        <f>IF(LEN(M740)&gt;0,IF(OR(ISLOGICAL(M740),M740="TRUE"),"Yes",""),"")</f>
      </c>
      <c r="O740" s="59"/>
      <c r="P740" s="62" t="str">
        <f>IF(LEN(O740)&gt;0,IF(OR(ISLOGICAL(O740),O740="TRUE"),"Yes",""),"")</f>
      </c>
      <c r="Q740" s="62" t="s">
        <v>98</v>
      </c>
      <c r="R740" s="63"/>
    </row>
    <row r="741" spans="1:18" s="47" customFormat="1" ht="51">
      <c r="A741" s="63" t="s">
        <v>1556</v>
      </c>
      <c r="B741" s="63" t="s">
        <v>96</v>
      </c>
      <c r="C741" s="63" t="s">
        <v>1557</v>
      </c>
      <c r="D741" s="61"/>
      <c r="E741" s="45">
        <v>0.645</v>
      </c>
      <c r="F741" s="45">
        <v>0.645</v>
      </c>
      <c r="G741" s="66">
        <v>46082</v>
      </c>
      <c r="H741" s="45" t="str">
        <f>IF(ISNUMBER(E741),F741-E741,"N/A")</f>
        <v>N/A</v>
      </c>
      <c r="I741" s="46" t="str">
        <f>IF(E741&lt;&gt;"",IF(F741=E741,"No Change",IF(F741&gt;E741,"Increase","Decrease")),"New")</f>
        <v>Increase</v>
      </c>
      <c r="J741" s="58"/>
      <c r="K741" s="59" t="str">
        <f>IF(LEN(J741)&gt;0,IF(OR(ISLOGICAL(J741),J741="TRUE"),"Yes",""),"")</f>
      </c>
      <c r="L741" s="59"/>
      <c r="M741" s="59"/>
      <c r="N741" s="62" t="str">
        <f>IF(LEN(M741)&gt;0,IF(OR(ISLOGICAL(M741),M741="TRUE"),"Yes",""),"")</f>
      </c>
      <c r="O741" s="59"/>
      <c r="P741" s="62" t="str">
        <f>IF(LEN(O741)&gt;0,IF(OR(ISLOGICAL(O741),O741="TRUE"),"Yes",""),"")</f>
      </c>
      <c r="Q741" s="62" t="s">
        <v>98</v>
      </c>
      <c r="R741" s="63"/>
    </row>
    <row r="742" spans="1:18" s="47" customFormat="1" ht="51">
      <c r="A742" s="63" t="s">
        <v>1558</v>
      </c>
      <c r="B742" s="63" t="s">
        <v>96</v>
      </c>
      <c r="C742" s="63" t="s">
        <v>1559</v>
      </c>
      <c r="D742" s="61"/>
      <c r="E742" s="45">
        <v>0.645</v>
      </c>
      <c r="F742" s="45">
        <v>0.645</v>
      </c>
      <c r="G742" s="66">
        <v>46082</v>
      </c>
      <c r="H742" s="45" t="str">
        <f>IF(ISNUMBER(E742),F742-E742,"N/A")</f>
        <v>N/A</v>
      </c>
      <c r="I742" s="46" t="str">
        <f>IF(E742&lt;&gt;"",IF(F742=E742,"No Change",IF(F742&gt;E742,"Increase","Decrease")),"New")</f>
        <v>Increase</v>
      </c>
      <c r="J742" s="58"/>
      <c r="K742" s="59" t="str">
        <f>IF(LEN(J742)&gt;0,IF(OR(ISLOGICAL(J742),J742="TRUE"),"Yes",""),"")</f>
      </c>
      <c r="L742" s="59"/>
      <c r="M742" s="59"/>
      <c r="N742" s="62" t="str">
        <f>IF(LEN(M742)&gt;0,IF(OR(ISLOGICAL(M742),M742="TRUE"),"Yes",""),"")</f>
      </c>
      <c r="O742" s="59"/>
      <c r="P742" s="62" t="str">
        <f>IF(LEN(O742)&gt;0,IF(OR(ISLOGICAL(O742),O742="TRUE"),"Yes",""),"")</f>
      </c>
      <c r="Q742" s="62" t="s">
        <v>98</v>
      </c>
      <c r="R742" s="63"/>
    </row>
    <row r="743" spans="1:18" s="47" customFormat="1" ht="51">
      <c r="A743" s="63" t="s">
        <v>1560</v>
      </c>
      <c r="B743" s="63" t="s">
        <v>96</v>
      </c>
      <c r="C743" s="63" t="s">
        <v>1561</v>
      </c>
      <c r="D743" s="61"/>
      <c r="E743" s="45">
        <v>0.645</v>
      </c>
      <c r="F743" s="45">
        <v>0.645</v>
      </c>
      <c r="G743" s="66">
        <v>46082</v>
      </c>
      <c r="H743" s="45" t="str">
        <f>IF(ISNUMBER(E743),F743-E743,"N/A")</f>
        <v>N/A</v>
      </c>
      <c r="I743" s="46" t="str">
        <f>IF(E743&lt;&gt;"",IF(F743=E743,"No Change",IF(F743&gt;E743,"Increase","Decrease")),"New")</f>
        <v>Increase</v>
      </c>
      <c r="J743" s="58"/>
      <c r="K743" s="59" t="str">
        <f>IF(LEN(J743)&gt;0,IF(OR(ISLOGICAL(J743),J743="TRUE"),"Yes",""),"")</f>
      </c>
      <c r="L743" s="59"/>
      <c r="M743" s="59"/>
      <c r="N743" s="62" t="str">
        <f>IF(LEN(M743)&gt;0,IF(OR(ISLOGICAL(M743),M743="TRUE"),"Yes",""),"")</f>
      </c>
      <c r="O743" s="59"/>
      <c r="P743" s="62" t="str">
        <f>IF(LEN(O743)&gt;0,IF(OR(ISLOGICAL(O743),O743="TRUE"),"Yes",""),"")</f>
      </c>
      <c r="Q743" s="62" t="s">
        <v>98</v>
      </c>
      <c r="R743" s="63"/>
    </row>
    <row r="744" spans="1:18" s="47" customFormat="1" ht="51">
      <c r="A744" s="63" t="s">
        <v>1562</v>
      </c>
      <c r="B744" s="63" t="s">
        <v>96</v>
      </c>
      <c r="C744" s="63" t="s">
        <v>1563</v>
      </c>
      <c r="D744" s="61"/>
      <c r="E744" s="45">
        <v>0.645</v>
      </c>
      <c r="F744" s="45">
        <v>0.645</v>
      </c>
      <c r="G744" s="66">
        <v>46082</v>
      </c>
      <c r="H744" s="45" t="str">
        <f>IF(ISNUMBER(E744),F744-E744,"N/A")</f>
        <v>N/A</v>
      </c>
      <c r="I744" s="46" t="str">
        <f>IF(E744&lt;&gt;"",IF(F744=E744,"No Change",IF(F744&gt;E744,"Increase","Decrease")),"New")</f>
        <v>Increase</v>
      </c>
      <c r="J744" s="58"/>
      <c r="K744" s="59" t="str">
        <f>IF(LEN(J744)&gt;0,IF(OR(ISLOGICAL(J744),J744="TRUE"),"Yes",""),"")</f>
      </c>
      <c r="L744" s="59"/>
      <c r="M744" s="59"/>
      <c r="N744" s="62" t="str">
        <f>IF(LEN(M744)&gt;0,IF(OR(ISLOGICAL(M744),M744="TRUE"),"Yes",""),"")</f>
      </c>
      <c r="O744" s="59"/>
      <c r="P744" s="62" t="str">
        <f>IF(LEN(O744)&gt;0,IF(OR(ISLOGICAL(O744),O744="TRUE"),"Yes",""),"")</f>
      </c>
      <c r="Q744" s="62" t="s">
        <v>98</v>
      </c>
      <c r="R744" s="63"/>
    </row>
    <row r="745" spans="1:18" s="47" customFormat="1" ht="51">
      <c r="A745" s="63" t="s">
        <v>1564</v>
      </c>
      <c r="B745" s="63" t="s">
        <v>96</v>
      </c>
      <c r="C745" s="63" t="s">
        <v>1565</v>
      </c>
      <c r="D745" s="61"/>
      <c r="E745" s="45">
        <v>0.25</v>
      </c>
      <c r="F745" s="45">
        <v>0.25</v>
      </c>
      <c r="G745" s="66">
        <v>46092</v>
      </c>
      <c r="H745" s="45" t="str">
        <f>IF(ISNUMBER(E745),F745-E745,"N/A")</f>
        <v>N/A</v>
      </c>
      <c r="I745" s="46" t="str">
        <f>IF(E745&lt;&gt;"",IF(F745=E745,"No Change",IF(F745&gt;E745,"Increase","Decrease")),"New")</f>
        <v>Increase</v>
      </c>
      <c r="J745" s="58"/>
      <c r="K745" s="59" t="str">
        <f>IF(LEN(J745)&gt;0,IF(OR(ISLOGICAL(J745),J745="TRUE"),"Yes",""),"")</f>
      </c>
      <c r="L745" s="59"/>
      <c r="M745" s="59"/>
      <c r="N745" s="62" t="str">
        <f>IF(LEN(M745)&gt;0,IF(OR(ISLOGICAL(M745),M745="TRUE"),"Yes",""),"")</f>
      </c>
      <c r="O745" s="59"/>
      <c r="P745" s="62" t="str">
        <f>IF(LEN(O745)&gt;0,IF(OR(ISLOGICAL(O745),O745="TRUE"),"Yes",""),"")</f>
      </c>
      <c r="Q745" s="62" t="s">
        <v>98</v>
      </c>
      <c r="R745" s="63"/>
    </row>
    <row r="746" spans="1:18" s="47" customFormat="1" ht="51">
      <c r="A746" s="63" t="s">
        <v>1566</v>
      </c>
      <c r="B746" s="63" t="s">
        <v>96</v>
      </c>
      <c r="C746" s="63" t="s">
        <v>1567</v>
      </c>
      <c r="D746" s="61"/>
      <c r="E746" s="45">
        <v>0.25</v>
      </c>
      <c r="F746" s="45">
        <v>0.25</v>
      </c>
      <c r="G746" s="66">
        <v>46082</v>
      </c>
      <c r="H746" s="45" t="str">
        <f>IF(ISNUMBER(E746),F746-E746,"N/A")</f>
        <v>N/A</v>
      </c>
      <c r="I746" s="46" t="str">
        <f>IF(E746&lt;&gt;"",IF(F746=E746,"No Change",IF(F746&gt;E746,"Increase","Decrease")),"New")</f>
        <v>Increase</v>
      </c>
      <c r="J746" s="58"/>
      <c r="K746" s="59" t="str">
        <f>IF(LEN(J746)&gt;0,IF(OR(ISLOGICAL(J746),J746="TRUE"),"Yes",""),"")</f>
      </c>
      <c r="L746" s="59"/>
      <c r="M746" s="59"/>
      <c r="N746" s="62" t="str">
        <f>IF(LEN(M746)&gt;0,IF(OR(ISLOGICAL(M746),M746="TRUE"),"Yes",""),"")</f>
      </c>
      <c r="O746" s="59"/>
      <c r="P746" s="62" t="str">
        <f>IF(LEN(O746)&gt;0,IF(OR(ISLOGICAL(O746),O746="TRUE"),"Yes",""),"")</f>
      </c>
      <c r="Q746" s="62" t="s">
        <v>98</v>
      </c>
      <c r="R746" s="63"/>
    </row>
    <row r="747" spans="1:18" s="47" customFormat="1" ht="51">
      <c r="A747" s="63" t="s">
        <v>1568</v>
      </c>
      <c r="B747" s="63" t="s">
        <v>96</v>
      </c>
      <c r="C747" s="63" t="s">
        <v>1569</v>
      </c>
      <c r="D747" s="61"/>
      <c r="E747" s="45">
        <v>0.525</v>
      </c>
      <c r="F747" s="45">
        <v>0.525</v>
      </c>
      <c r="G747" s="66">
        <v>46085</v>
      </c>
      <c r="H747" s="45" t="str">
        <f>IF(ISNUMBER(E747),F747-E747,"N/A")</f>
        <v>N/A</v>
      </c>
      <c r="I747" s="46" t="str">
        <f>IF(E747&lt;&gt;"",IF(F747=E747,"No Change",IF(F747&gt;E747,"Increase","Decrease")),"New")</f>
        <v>Increase</v>
      </c>
      <c r="J747" s="58"/>
      <c r="K747" s="59" t="str">
        <f>IF(LEN(J747)&gt;0,IF(OR(ISLOGICAL(J747),J747="TRUE"),"Yes",""),"")</f>
      </c>
      <c r="L747" s="59"/>
      <c r="M747" s="59"/>
      <c r="N747" s="62" t="str">
        <f>IF(LEN(M747)&gt;0,IF(OR(ISLOGICAL(M747),M747="TRUE"),"Yes",""),"")</f>
      </c>
      <c r="O747" s="59"/>
      <c r="P747" s="62" t="str">
        <f>IF(LEN(O747)&gt;0,IF(OR(ISLOGICAL(O747),O747="TRUE"),"Yes",""),"")</f>
      </c>
      <c r="Q747" s="62" t="s">
        <v>98</v>
      </c>
      <c r="R747" s="63"/>
    </row>
    <row r="748" spans="1:18" s="47" customFormat="1" ht="51">
      <c r="A748" s="63" t="s">
        <v>1570</v>
      </c>
      <c r="B748" s="63" t="s">
        <v>96</v>
      </c>
      <c r="C748" s="63" t="s">
        <v>1571</v>
      </c>
      <c r="D748" s="61"/>
      <c r="E748" s="45">
        <v>0.525</v>
      </c>
      <c r="F748" s="45">
        <v>0.525</v>
      </c>
      <c r="G748" s="66">
        <v>46082</v>
      </c>
      <c r="H748" s="45" t="str">
        <f>IF(ISNUMBER(E748),F748-E748,"N/A")</f>
        <v>N/A</v>
      </c>
      <c r="I748" s="46" t="str">
        <f>IF(E748&lt;&gt;"",IF(F748=E748,"No Change",IF(F748&gt;E748,"Increase","Decrease")),"New")</f>
        <v>Increase</v>
      </c>
      <c r="J748" s="58"/>
      <c r="K748" s="59" t="str">
        <f>IF(LEN(J748)&gt;0,IF(OR(ISLOGICAL(J748),J748="TRUE"),"Yes",""),"")</f>
      </c>
      <c r="L748" s="59"/>
      <c r="M748" s="59"/>
      <c r="N748" s="62" t="str">
        <f>IF(LEN(M748)&gt;0,IF(OR(ISLOGICAL(M748),M748="TRUE"),"Yes",""),"")</f>
      </c>
      <c r="O748" s="59"/>
      <c r="P748" s="62" t="str">
        <f>IF(LEN(O748)&gt;0,IF(OR(ISLOGICAL(O748),O748="TRUE"),"Yes",""),"")</f>
      </c>
      <c r="Q748" s="62" t="s">
        <v>98</v>
      </c>
      <c r="R748" s="63"/>
    </row>
    <row r="749" spans="1:18" s="47" customFormat="1" ht="51">
      <c r="A749" s="63" t="s">
        <v>1572</v>
      </c>
      <c r="B749" s="63" t="s">
        <v>96</v>
      </c>
      <c r="C749" s="63" t="s">
        <v>1573</v>
      </c>
      <c r="D749" s="61"/>
      <c r="E749" s="45">
        <v>0.525</v>
      </c>
      <c r="F749" s="45">
        <v>0.525</v>
      </c>
      <c r="G749" s="66">
        <v>46082</v>
      </c>
      <c r="H749" s="45" t="str">
        <f>IF(ISNUMBER(E749),F749-E749,"N/A")</f>
        <v>N/A</v>
      </c>
      <c r="I749" s="46" t="str">
        <f>IF(E749&lt;&gt;"",IF(F749=E749,"No Change",IF(F749&gt;E749,"Increase","Decrease")),"New")</f>
        <v>Increase</v>
      </c>
      <c r="J749" s="58"/>
      <c r="K749" s="59" t="str">
        <f>IF(LEN(J749)&gt;0,IF(OR(ISLOGICAL(J749),J749="TRUE"),"Yes",""),"")</f>
      </c>
      <c r="L749" s="59"/>
      <c r="M749" s="59"/>
      <c r="N749" s="62" t="str">
        <f>IF(LEN(M749)&gt;0,IF(OR(ISLOGICAL(M749),M749="TRUE"),"Yes",""),"")</f>
      </c>
      <c r="O749" s="59"/>
      <c r="P749" s="62" t="str">
        <f>IF(LEN(O749)&gt;0,IF(OR(ISLOGICAL(O749),O749="TRUE"),"Yes",""),"")</f>
      </c>
      <c r="Q749" s="62" t="s">
        <v>98</v>
      </c>
      <c r="R749" s="63"/>
    </row>
    <row r="750" spans="1:18" s="47" customFormat="1" ht="51">
      <c r="A750" s="63" t="s">
        <v>1574</v>
      </c>
      <c r="B750" s="63" t="s">
        <v>96</v>
      </c>
      <c r="C750" s="63" t="s">
        <v>1575</v>
      </c>
      <c r="D750" s="61"/>
      <c r="E750" s="45">
        <v>0.53</v>
      </c>
      <c r="F750" s="45">
        <v>0.53</v>
      </c>
      <c r="G750" s="66">
        <v>46082</v>
      </c>
      <c r="H750" s="45" t="str">
        <f>IF(ISNUMBER(E750),F750-E750,"N/A")</f>
        <v>N/A</v>
      </c>
      <c r="I750" s="46" t="str">
        <f>IF(E750&lt;&gt;"",IF(F750=E750,"No Change",IF(F750&gt;E750,"Increase","Decrease")),"New")</f>
        <v>Increase</v>
      </c>
      <c r="J750" s="58"/>
      <c r="K750" s="59" t="str">
        <f>IF(LEN(J750)&gt;0,IF(OR(ISLOGICAL(J750),J750="TRUE"),"Yes",""),"")</f>
      </c>
      <c r="L750" s="59"/>
      <c r="M750" s="59"/>
      <c r="N750" s="62" t="str">
        <f>IF(LEN(M750)&gt;0,IF(OR(ISLOGICAL(M750),M750="TRUE"),"Yes",""),"")</f>
      </c>
      <c r="O750" s="59"/>
      <c r="P750" s="62" t="str">
        <f>IF(LEN(O750)&gt;0,IF(OR(ISLOGICAL(O750),O750="TRUE"),"Yes",""),"")</f>
      </c>
      <c r="Q750" s="62" t="s">
        <v>98</v>
      </c>
      <c r="R750" s="63"/>
    </row>
    <row r="751" spans="1:18" s="47" customFormat="1" ht="51">
      <c r="A751" s="63" t="s">
        <v>1576</v>
      </c>
      <c r="B751" s="63" t="s">
        <v>96</v>
      </c>
      <c r="C751" s="63" t="s">
        <v>1577</v>
      </c>
      <c r="D751" s="61"/>
      <c r="E751" s="45">
        <v>0.53</v>
      </c>
      <c r="F751" s="45">
        <v>0.53</v>
      </c>
      <c r="G751" s="66">
        <v>46082</v>
      </c>
      <c r="H751" s="45" t="str">
        <f>IF(ISNUMBER(E751),F751-E751,"N/A")</f>
        <v>N/A</v>
      </c>
      <c r="I751" s="46" t="str">
        <f>IF(E751&lt;&gt;"",IF(F751=E751,"No Change",IF(F751&gt;E751,"Increase","Decrease")),"New")</f>
        <v>Increase</v>
      </c>
      <c r="J751" s="58" t="s">
        <v>103</v>
      </c>
      <c r="K751" s="59" t="str">
        <f>IF(LEN(J751)&gt;0,IF(OR(ISLOGICAL(J751),J751="TRUE"),"Yes",""),"")</f>
      </c>
      <c r="L751" s="59"/>
      <c r="M751" s="59"/>
      <c r="N751" s="62" t="str">
        <f>IF(LEN(M751)&gt;0,IF(OR(ISLOGICAL(M751),M751="TRUE"),"Yes",""),"")</f>
      </c>
      <c r="O751" s="59"/>
      <c r="P751" s="62" t="str">
        <f>IF(LEN(O751)&gt;0,IF(OR(ISLOGICAL(O751),O751="TRUE"),"Yes",""),"")</f>
      </c>
      <c r="Q751" s="62" t="s">
        <v>98</v>
      </c>
      <c r="R751" s="63"/>
    </row>
    <row r="752" spans="1:18" s="47" customFormat="1" ht="51">
      <c r="A752" s="63" t="s">
        <v>1578</v>
      </c>
      <c r="B752" s="63" t="s">
        <v>96</v>
      </c>
      <c r="C752" s="63" t="s">
        <v>1579</v>
      </c>
      <c r="D752" s="61"/>
      <c r="E752" s="45">
        <v>0.5</v>
      </c>
      <c r="F752" s="45">
        <v>0.5</v>
      </c>
      <c r="G752" s="66">
        <v>46078</v>
      </c>
      <c r="H752" s="45" t="str">
        <f>IF(ISNUMBER(E752),F752-E752,"N/A")</f>
        <v>N/A</v>
      </c>
      <c r="I752" s="46" t="str">
        <f>IF(E752&lt;&gt;"",IF(F752=E752,"No Change",IF(F752&gt;E752,"Increase","Decrease")),"New")</f>
        <v>Increase</v>
      </c>
      <c r="J752" s="58" t="s">
        <v>103</v>
      </c>
      <c r="K752" s="59" t="str">
        <f>IF(LEN(J752)&gt;0,IF(OR(ISLOGICAL(J752),J752="TRUE"),"Yes",""),"")</f>
      </c>
      <c r="L752" s="59"/>
      <c r="M752" s="59"/>
      <c r="N752" s="62" t="str">
        <f>IF(LEN(M752)&gt;0,IF(OR(ISLOGICAL(M752),M752="TRUE"),"Yes",""),"")</f>
      </c>
      <c r="O752" s="59"/>
      <c r="P752" s="62" t="str">
        <f>IF(LEN(O752)&gt;0,IF(OR(ISLOGICAL(O752),O752="TRUE"),"Yes",""),"")</f>
      </c>
      <c r="Q752" s="62" t="s">
        <v>98</v>
      </c>
      <c r="R752" s="63"/>
    </row>
    <row r="753" spans="1:18" s="47" customFormat="1" ht="51">
      <c r="A753" s="63" t="s">
        <v>1580</v>
      </c>
      <c r="B753" s="63" t="s">
        <v>96</v>
      </c>
      <c r="C753" s="63" t="s">
        <v>1581</v>
      </c>
      <c r="D753" s="61"/>
      <c r="E753" s="45">
        <v>0.5</v>
      </c>
      <c r="F753" s="45">
        <v>0.5</v>
      </c>
      <c r="G753" s="66">
        <v>46078</v>
      </c>
      <c r="H753" s="45" t="str">
        <f>IF(ISNUMBER(E753),F753-E753,"N/A")</f>
        <v>N/A</v>
      </c>
      <c r="I753" s="46" t="str">
        <f>IF(E753&lt;&gt;"",IF(F753=E753,"No Change",IF(F753&gt;E753,"Increase","Decrease")),"New")</f>
        <v>Increase</v>
      </c>
      <c r="J753" s="58"/>
      <c r="K753" s="59" t="str">
        <f>IF(LEN(J753)&gt;0,IF(OR(ISLOGICAL(J753),J753="TRUE"),"Yes",""),"")</f>
      </c>
      <c r="L753" s="59"/>
      <c r="M753" s="59"/>
      <c r="N753" s="62" t="str">
        <f>IF(LEN(M753)&gt;0,IF(OR(ISLOGICAL(M753),M753="TRUE"),"Yes",""),"")</f>
      </c>
      <c r="O753" s="59"/>
      <c r="P753" s="62" t="str">
        <f>IF(LEN(O753)&gt;0,IF(OR(ISLOGICAL(O753),O753="TRUE"),"Yes",""),"")</f>
      </c>
      <c r="Q753" s="62" t="s">
        <v>98</v>
      </c>
      <c r="R753" s="63"/>
    </row>
    <row r="754" spans="1:18" s="47" customFormat="1" ht="51">
      <c r="A754" s="63" t="s">
        <v>1582</v>
      </c>
      <c r="B754" s="63" t="s">
        <v>96</v>
      </c>
      <c r="C754" s="63" t="s">
        <v>1583</v>
      </c>
      <c r="D754" s="61"/>
      <c r="E754" s="45">
        <v>0.5</v>
      </c>
      <c r="F754" s="45">
        <v>0.5</v>
      </c>
      <c r="G754" s="66">
        <v>46106</v>
      </c>
      <c r="H754" s="45" t="str">
        <f>IF(ISNUMBER(E754),F754-E754,"N/A")</f>
        <v>N/A</v>
      </c>
      <c r="I754" s="46" t="str">
        <f>IF(E754&lt;&gt;"",IF(F754=E754,"No Change",IF(F754&gt;E754,"Increase","Decrease")),"New")</f>
        <v>Increase</v>
      </c>
      <c r="J754" s="58" t="s">
        <v>122</v>
      </c>
      <c r="K754" s="59" t="str">
        <f>IF(LEN(J754)&gt;0,IF(OR(ISLOGICAL(J754),J754="TRUE"),"Yes",""),"")</f>
      </c>
      <c r="L754" s="59"/>
      <c r="M754" s="59"/>
      <c r="N754" s="62" t="str">
        <f>IF(LEN(M754)&gt;0,IF(OR(ISLOGICAL(M754),M754="TRUE"),"Yes",""),"")</f>
      </c>
      <c r="O754" s="59"/>
      <c r="P754" s="62" t="str">
        <f>IF(LEN(O754)&gt;0,IF(OR(ISLOGICAL(O754),O754="TRUE"),"Yes",""),"")</f>
      </c>
      <c r="Q754" s="62" t="s">
        <v>98</v>
      </c>
      <c r="R754" s="63"/>
    </row>
    <row r="755" spans="1:18" s="47" customFormat="1" ht="51">
      <c r="A755" s="63" t="s">
        <v>1584</v>
      </c>
      <c r="B755" s="63" t="s">
        <v>96</v>
      </c>
      <c r="C755" s="63" t="s">
        <v>1585</v>
      </c>
      <c r="D755" s="61"/>
      <c r="E755" s="45">
        <v>0.13</v>
      </c>
      <c r="F755" s="45">
        <v>0.13</v>
      </c>
      <c r="G755" s="66">
        <v>46078</v>
      </c>
      <c r="H755" s="45" t="str">
        <f>IF(ISNUMBER(E755),F755-E755,"N/A")</f>
        <v>N/A</v>
      </c>
      <c r="I755" s="46" t="str">
        <f>IF(E755&lt;&gt;"",IF(F755=E755,"No Change",IF(F755&gt;E755,"Increase","Decrease")),"New")</f>
        <v>Increase</v>
      </c>
      <c r="J755" s="58"/>
      <c r="K755" s="59" t="str">
        <f>IF(LEN(J755)&gt;0,IF(OR(ISLOGICAL(J755),J755="TRUE"),"Yes",""),"")</f>
      </c>
      <c r="L755" s="59"/>
      <c r="M755" s="59"/>
      <c r="N755" s="62" t="str">
        <f>IF(LEN(M755)&gt;0,IF(OR(ISLOGICAL(M755),M755="TRUE"),"Yes",""),"")</f>
      </c>
      <c r="O755" s="59"/>
      <c r="P755" s="62" t="str">
        <f>IF(LEN(O755)&gt;0,IF(OR(ISLOGICAL(O755),O755="TRUE"),"Yes",""),"")</f>
      </c>
      <c r="Q755" s="62" t="s">
        <v>98</v>
      </c>
      <c r="R755" s="63"/>
    </row>
    <row r="756" spans="1:18" s="47" customFormat="1" ht="51">
      <c r="A756" s="63" t="s">
        <v>1586</v>
      </c>
      <c r="B756" s="63" t="s">
        <v>96</v>
      </c>
      <c r="C756" s="63" t="s">
        <v>1587</v>
      </c>
      <c r="D756" s="61"/>
      <c r="E756" s="45">
        <v>0.21</v>
      </c>
      <c r="F756" s="45">
        <v>0.21</v>
      </c>
      <c r="G756" s="66">
        <v>46143</v>
      </c>
      <c r="H756" s="45" t="str">
        <f>IF(ISNUMBER(E756),F756-E756,"N/A")</f>
        <v>N/A</v>
      </c>
      <c r="I756" s="46" t="str">
        <f>IF(E756&lt;&gt;"",IF(F756=E756,"No Change",IF(F756&gt;E756,"Increase","Decrease")),"New")</f>
        <v>Increase</v>
      </c>
      <c r="J756" s="58"/>
      <c r="K756" s="59" t="str">
        <f>IF(LEN(J756)&gt;0,IF(OR(ISLOGICAL(J756),J756="TRUE"),"Yes",""),"")</f>
      </c>
      <c r="L756" s="59"/>
      <c r="M756" s="59"/>
      <c r="N756" s="62" t="str">
        <f>IF(LEN(M756)&gt;0,IF(OR(ISLOGICAL(M756),M756="TRUE"),"Yes",""),"")</f>
      </c>
      <c r="O756" s="59"/>
      <c r="P756" s="62" t="str">
        <f>IF(LEN(O756)&gt;0,IF(OR(ISLOGICAL(O756),O756="TRUE"),"Yes",""),"")</f>
      </c>
      <c r="Q756" s="62" t="s">
        <v>98</v>
      </c>
      <c r="R756" s="63"/>
    </row>
    <row r="757" spans="1:18" s="47" customFormat="1" ht="51">
      <c r="A757" s="63" t="s">
        <v>1588</v>
      </c>
      <c r="B757" s="63" t="s">
        <v>96</v>
      </c>
      <c r="C757" s="63" t="s">
        <v>1589</v>
      </c>
      <c r="D757" s="61"/>
      <c r="E757" s="45">
        <v>0.21</v>
      </c>
      <c r="F757" s="45">
        <v>0.21</v>
      </c>
      <c r="G757" s="66">
        <v>46099</v>
      </c>
      <c r="H757" s="45" t="str">
        <f>IF(ISNUMBER(E757),F757-E757,"N/A")</f>
        <v>N/A</v>
      </c>
      <c r="I757" s="46" t="str">
        <f>IF(E757&lt;&gt;"",IF(F757=E757,"No Change",IF(F757&gt;E757,"Increase","Decrease")),"New")</f>
        <v>Increase</v>
      </c>
      <c r="J757" s="58"/>
      <c r="K757" s="59" t="str">
        <f>IF(LEN(J757)&gt;0,IF(OR(ISLOGICAL(J757),J757="TRUE"),"Yes",""),"")</f>
      </c>
      <c r="L757" s="59"/>
      <c r="M757" s="59"/>
      <c r="N757" s="62" t="str">
        <f>IF(LEN(M757)&gt;0,IF(OR(ISLOGICAL(M757),M757="TRUE"),"Yes",""),"")</f>
      </c>
      <c r="O757" s="59"/>
      <c r="P757" s="62" t="str">
        <f>IF(LEN(O757)&gt;0,IF(OR(ISLOGICAL(O757),O757="TRUE"),"Yes",""),"")</f>
      </c>
      <c r="Q757" s="62" t="s">
        <v>98</v>
      </c>
      <c r="R757" s="63"/>
    </row>
    <row r="758" spans="1:18" s="47" customFormat="1" ht="51">
      <c r="A758" s="63" t="s">
        <v>1590</v>
      </c>
      <c r="B758" s="63" t="s">
        <v>96</v>
      </c>
      <c r="C758" s="63" t="s">
        <v>1591</v>
      </c>
      <c r="D758" s="61"/>
      <c r="E758" s="45">
        <v>0.255</v>
      </c>
      <c r="F758" s="45">
        <v>0.255</v>
      </c>
      <c r="G758" s="66">
        <v>46143</v>
      </c>
      <c r="H758" s="45" t="str">
        <f>IF(ISNUMBER(E758),F758-E758,"N/A")</f>
        <v>N/A</v>
      </c>
      <c r="I758" s="46" t="str">
        <f>IF(E758&lt;&gt;"",IF(F758=E758,"No Change",IF(F758&gt;E758,"Increase","Decrease")),"New")</f>
        <v>Increase</v>
      </c>
      <c r="J758" s="58" t="s">
        <v>122</v>
      </c>
      <c r="K758" s="59" t="str">
        <f>IF(LEN(J758)&gt;0,IF(OR(ISLOGICAL(J758),J758="TRUE"),"Yes",""),"")</f>
      </c>
      <c r="L758" s="59"/>
      <c r="M758" s="59"/>
      <c r="N758" s="62" t="str">
        <f>IF(LEN(M758)&gt;0,IF(OR(ISLOGICAL(M758),M758="TRUE"),"Yes",""),"")</f>
      </c>
      <c r="O758" s="59"/>
      <c r="P758" s="62" t="str">
        <f>IF(LEN(O758)&gt;0,IF(OR(ISLOGICAL(O758),O758="TRUE"),"Yes",""),"")</f>
      </c>
      <c r="Q758" s="62" t="s">
        <v>98</v>
      </c>
      <c r="R758" s="63"/>
    </row>
    <row r="759" spans="1:18" s="47" customFormat="1" ht="51">
      <c r="A759" s="63" t="s">
        <v>1592</v>
      </c>
      <c r="B759" s="63" t="s">
        <v>96</v>
      </c>
      <c r="C759" s="63" t="s">
        <v>1593</v>
      </c>
      <c r="D759" s="61"/>
      <c r="E759" s="45">
        <v>0.29</v>
      </c>
      <c r="F759" s="45">
        <v>0.29</v>
      </c>
      <c r="G759" s="66">
        <v>45854</v>
      </c>
      <c r="H759" s="45" t="str">
        <f>IF(ISNUMBER(E759),F759-E759,"N/A")</f>
        <v>N/A</v>
      </c>
      <c r="I759" s="46" t="str">
        <f>IF(E759&lt;&gt;"",IF(F759=E759,"No Change",IF(F759&gt;E759,"Increase","Decrease")),"New")</f>
        <v>Increase</v>
      </c>
      <c r="J759" s="58" t="s">
        <v>122</v>
      </c>
      <c r="K759" s="59" t="str">
        <f>IF(LEN(J759)&gt;0,IF(OR(ISLOGICAL(J759),J759="TRUE"),"Yes",""),"")</f>
      </c>
      <c r="L759" s="59"/>
      <c r="M759" s="59"/>
      <c r="N759" s="62" t="str">
        <f>IF(LEN(M759)&gt;0,IF(OR(ISLOGICAL(M759),M759="TRUE"),"Yes",""),"")</f>
      </c>
      <c r="O759" s="59"/>
      <c r="P759" s="62" t="str">
        <f>IF(LEN(O759)&gt;0,IF(OR(ISLOGICAL(O759),O759="TRUE"),"Yes",""),"")</f>
      </c>
      <c r="Q759" s="62" t="s">
        <v>98</v>
      </c>
      <c r="R759" s="63"/>
    </row>
    <row r="760" spans="1:18" s="47" customFormat="1" ht="51">
      <c r="A760" s="63" t="s">
        <v>1594</v>
      </c>
      <c r="B760" s="63" t="s">
        <v>96</v>
      </c>
      <c r="C760" s="63" t="s">
        <v>1595</v>
      </c>
      <c r="D760" s="61"/>
      <c r="E760" s="45">
        <v>0.078</v>
      </c>
      <c r="F760" s="45">
        <v>0.078</v>
      </c>
      <c r="G760" s="66">
        <v>46113</v>
      </c>
      <c r="H760" s="45" t="str">
        <f>IF(ISNUMBER(E760),F760-E760,"N/A")</f>
        <v>N/A</v>
      </c>
      <c r="I760" s="46" t="str">
        <f>IF(E760&lt;&gt;"",IF(F760=E760,"No Change",IF(F760&gt;E760,"Increase","Decrease")),"New")</f>
        <v>Increase</v>
      </c>
      <c r="J760" s="58"/>
      <c r="K760" s="59" t="str">
        <f>IF(LEN(J760)&gt;0,IF(OR(ISLOGICAL(J760),J760="TRUE"),"Yes",""),"")</f>
      </c>
      <c r="L760" s="59"/>
      <c r="M760" s="59"/>
      <c r="N760" s="62" t="str">
        <f>IF(LEN(M760)&gt;0,IF(OR(ISLOGICAL(M760),M760="TRUE"),"Yes",""),"")</f>
      </c>
      <c r="O760" s="59"/>
      <c r="P760" s="62" t="str">
        <f>IF(LEN(O760)&gt;0,IF(OR(ISLOGICAL(O760),O760="TRUE"),"Yes",""),"")</f>
      </c>
      <c r="Q760" s="62" t="s">
        <v>109</v>
      </c>
      <c r="R760" s="63"/>
    </row>
    <row r="761" spans="1:18" s="47" customFormat="1" ht="51">
      <c r="A761" s="63" t="s">
        <v>1596</v>
      </c>
      <c r="B761" s="63" t="s">
        <v>96</v>
      </c>
      <c r="C761" s="63" t="s">
        <v>1597</v>
      </c>
      <c r="D761" s="61"/>
      <c r="E761" s="45">
        <v>0.226</v>
      </c>
      <c r="F761" s="45">
        <v>0.226</v>
      </c>
      <c r="G761" s="66">
        <v>46001</v>
      </c>
      <c r="H761" s="45" t="str">
        <f>IF(ISNUMBER(E761),F761-E761,"N/A")</f>
        <v>N/A</v>
      </c>
      <c r="I761" s="46" t="str">
        <f>IF(E761&lt;&gt;"",IF(F761=E761,"No Change",IF(F761&gt;E761,"Increase","Decrease")),"New")</f>
        <v>Increase</v>
      </c>
      <c r="J761" s="58"/>
      <c r="K761" s="59" t="str">
        <f>IF(LEN(J761)&gt;0,IF(OR(ISLOGICAL(J761),J761="TRUE"),"Yes",""),"")</f>
      </c>
      <c r="L761" s="59"/>
      <c r="M761" s="59"/>
      <c r="N761" s="62" t="str">
        <f>IF(LEN(M761)&gt;0,IF(OR(ISLOGICAL(M761),M761="TRUE"),"Yes",""),"")</f>
      </c>
      <c r="O761" s="59"/>
      <c r="P761" s="62" t="str">
        <f>IF(LEN(O761)&gt;0,IF(OR(ISLOGICAL(O761),O761="TRUE"),"Yes",""),"")</f>
      </c>
      <c r="Q761" s="62" t="s">
        <v>109</v>
      </c>
      <c r="R761" s="63"/>
    </row>
    <row r="762" spans="1:18" s="47" customFormat="1" ht="51">
      <c r="A762" s="63" t="s">
        <v>1598</v>
      </c>
      <c r="B762" s="63" t="s">
        <v>96</v>
      </c>
      <c r="C762" s="63" t="s">
        <v>1599</v>
      </c>
      <c r="D762" s="61"/>
      <c r="E762" s="45">
        <v>0.2225</v>
      </c>
      <c r="F762" s="45">
        <v>0.2225</v>
      </c>
      <c r="G762" s="66">
        <v>45728</v>
      </c>
      <c r="H762" s="45" t="str">
        <f>IF(ISNUMBER(E762),F762-E762,"N/A")</f>
        <v>N/A</v>
      </c>
      <c r="I762" s="46" t="str">
        <f>IF(E762&lt;&gt;"",IF(F762=E762,"No Change",IF(F762&gt;E762,"Increase","Decrease")),"New")</f>
        <v>Increase</v>
      </c>
      <c r="J762" s="58"/>
      <c r="K762" s="59" t="str">
        <f>IF(LEN(J762)&gt;0,IF(OR(ISLOGICAL(J762),J762="TRUE"),"Yes",""),"")</f>
      </c>
      <c r="L762" s="59"/>
      <c r="M762" s="59"/>
      <c r="N762" s="62" t="str">
        <f>IF(LEN(M762)&gt;0,IF(OR(ISLOGICAL(M762),M762="TRUE"),"Yes",""),"")</f>
      </c>
      <c r="O762" s="59"/>
      <c r="P762" s="62" t="str">
        <f>IF(LEN(O762)&gt;0,IF(OR(ISLOGICAL(O762),O762="TRUE"),"Yes",""),"")</f>
      </c>
      <c r="Q762" s="62" t="s">
        <v>109</v>
      </c>
      <c r="R762" s="63"/>
    </row>
    <row r="763" spans="1:18" s="47" customFormat="1" ht="51">
      <c r="A763" s="63" t="s">
        <v>1600</v>
      </c>
      <c r="B763" s="63" t="s">
        <v>96</v>
      </c>
      <c r="C763" s="63" t="s">
        <v>1601</v>
      </c>
      <c r="D763" s="61"/>
      <c r="E763" s="45">
        <v>0.078</v>
      </c>
      <c r="F763" s="45">
        <v>0.078</v>
      </c>
      <c r="G763" s="66">
        <v>46001</v>
      </c>
      <c r="H763" s="45" t="str">
        <f>IF(ISNUMBER(E763),F763-E763,"N/A")</f>
        <v>N/A</v>
      </c>
      <c r="I763" s="46" t="str">
        <f>IF(E763&lt;&gt;"",IF(F763=E763,"No Change",IF(F763&gt;E763,"Increase","Decrease")),"New")</f>
        <v>Increase</v>
      </c>
      <c r="J763" s="58" t="s">
        <v>122</v>
      </c>
      <c r="K763" s="59" t="str">
        <f>IF(LEN(J763)&gt;0,IF(OR(ISLOGICAL(J763),J763="TRUE"),"Yes",""),"")</f>
      </c>
      <c r="L763" s="59"/>
      <c r="M763" s="59"/>
      <c r="N763" s="62" t="str">
        <f>IF(LEN(M763)&gt;0,IF(OR(ISLOGICAL(M763),M763="TRUE"),"Yes",""),"")</f>
      </c>
      <c r="O763" s="59"/>
      <c r="P763" s="62" t="str">
        <f>IF(LEN(O763)&gt;0,IF(OR(ISLOGICAL(O763),O763="TRUE"),"Yes",""),"")</f>
      </c>
      <c r="Q763" s="62" t="s">
        <v>109</v>
      </c>
      <c r="R763" s="63"/>
    </row>
    <row r="764" spans="1:18" s="47" customFormat="1" ht="51">
      <c r="A764" s="63" t="s">
        <v>1602</v>
      </c>
      <c r="B764" s="63" t="s">
        <v>96</v>
      </c>
      <c r="C764" s="63" t="s">
        <v>1603</v>
      </c>
      <c r="D764" s="61"/>
      <c r="E764" s="45">
        <v>0.223</v>
      </c>
      <c r="F764" s="45">
        <v>0.223</v>
      </c>
      <c r="G764" s="66">
        <v>46043</v>
      </c>
      <c r="H764" s="45" t="str">
        <f>IF(ISNUMBER(E764),F764-E764,"N/A")</f>
        <v>N/A</v>
      </c>
      <c r="I764" s="46" t="str">
        <f>IF(E764&lt;&gt;"",IF(F764=E764,"No Change",IF(F764&gt;E764,"Increase","Decrease")),"New")</f>
        <v>Increase</v>
      </c>
      <c r="J764" s="58" t="s">
        <v>122</v>
      </c>
      <c r="K764" s="59" t="str">
        <f>IF(LEN(J764)&gt;0,IF(OR(ISLOGICAL(J764),J764="TRUE"),"Yes",""),"")</f>
      </c>
      <c r="L764" s="59"/>
      <c r="M764" s="59"/>
      <c r="N764" s="62" t="str">
        <f>IF(LEN(M764)&gt;0,IF(OR(ISLOGICAL(M764),M764="TRUE"),"Yes",""),"")</f>
      </c>
      <c r="O764" s="59"/>
      <c r="P764" s="62" t="str">
        <f>IF(LEN(O764)&gt;0,IF(OR(ISLOGICAL(O764),O764="TRUE"),"Yes",""),"")</f>
      </c>
      <c r="Q764" s="62" t="s">
        <v>109</v>
      </c>
      <c r="R764" s="63"/>
    </row>
    <row r="765" spans="1:18" s="47" customFormat="1" ht="51">
      <c r="A765" s="63" t="s">
        <v>1604</v>
      </c>
      <c r="B765" s="63" t="s">
        <v>96</v>
      </c>
      <c r="C765" s="63" t="s">
        <v>1605</v>
      </c>
      <c r="D765" s="61"/>
      <c r="E765" s="45">
        <v>0.12</v>
      </c>
      <c r="F765" s="45">
        <v>0.12</v>
      </c>
      <c r="G765" s="66">
        <v>46023</v>
      </c>
      <c r="H765" s="45" t="str">
        <f>IF(ISNUMBER(E765),F765-E765,"N/A")</f>
        <v>N/A</v>
      </c>
      <c r="I765" s="46" t="str">
        <f>IF(E765&lt;&gt;"",IF(F765=E765,"No Change",IF(F765&gt;E765,"Increase","Decrease")),"New")</f>
        <v>Increase</v>
      </c>
      <c r="J765" s="58" t="s">
        <v>122</v>
      </c>
      <c r="K765" s="59" t="str">
        <f>IF(LEN(J765)&gt;0,IF(OR(ISLOGICAL(J765),J765="TRUE"),"Yes",""),"")</f>
      </c>
      <c r="L765" s="59"/>
      <c r="M765" s="59"/>
      <c r="N765" s="62" t="str">
        <f>IF(LEN(M765)&gt;0,IF(OR(ISLOGICAL(M765),M765="TRUE"),"Yes",""),"")</f>
      </c>
      <c r="O765" s="59"/>
      <c r="P765" s="62" t="str">
        <f>IF(LEN(O765)&gt;0,IF(OR(ISLOGICAL(O765),O765="TRUE"),"Yes",""),"")</f>
      </c>
      <c r="Q765" s="62" t="s">
        <v>109</v>
      </c>
      <c r="R765" s="63"/>
    </row>
    <row r="766" spans="1:18" s="47" customFormat="1" ht="51">
      <c r="A766" s="63" t="s">
        <v>1606</v>
      </c>
      <c r="B766" s="63" t="s">
        <v>96</v>
      </c>
      <c r="C766" s="63" t="s">
        <v>1607</v>
      </c>
      <c r="D766" s="61"/>
      <c r="E766" s="45">
        <v>0.065</v>
      </c>
      <c r="F766" s="45">
        <v>0.078</v>
      </c>
      <c r="G766" s="66">
        <v>46148</v>
      </c>
      <c r="H766" s="45" t="str">
        <f>IF(ISNUMBER(E766),F766-E766,"N/A")</f>
        <v>N/A</v>
      </c>
      <c r="I766" s="46" t="str">
        <f>IF(E766&lt;&gt;"",IF(F766=E766,"No Change",IF(F766&gt;E766,"Increase","Decrease")),"New")</f>
        <v>Increase</v>
      </c>
      <c r="J766" s="58"/>
      <c r="K766" s="59" t="str">
        <f>IF(LEN(J766)&gt;0,IF(OR(ISLOGICAL(J766),J766="TRUE"),"Yes",""),"")</f>
      </c>
      <c r="L766" s="59"/>
      <c r="M766" s="59"/>
      <c r="N766" s="62" t="str">
        <f>IF(LEN(M766)&gt;0,IF(OR(ISLOGICAL(M766),M766="TRUE"),"Yes",""),"")</f>
      </c>
      <c r="O766" s="59"/>
      <c r="P766" s="62" t="str">
        <f>IF(LEN(O766)&gt;0,IF(OR(ISLOGICAL(O766),O766="TRUE"),"Yes",""),"")</f>
      </c>
      <c r="Q766" s="62" t="s">
        <v>109</v>
      </c>
      <c r="R766" s="63"/>
    </row>
    <row r="767" spans="1:18" s="47" customFormat="1" ht="51">
      <c r="A767" s="63" t="s">
        <v>1608</v>
      </c>
      <c r="B767" s="63" t="s">
        <v>96</v>
      </c>
      <c r="C767" s="63" t="s">
        <v>1609</v>
      </c>
      <c r="D767" s="61"/>
      <c r="E767" s="45">
        <v>0.1065</v>
      </c>
      <c r="F767" s="45">
        <v>0.1065</v>
      </c>
      <c r="G767" s="66">
        <v>45826</v>
      </c>
      <c r="H767" s="45" t="str">
        <f>IF(ISNUMBER(E767),F767-E767,"N/A")</f>
        <v>N/A</v>
      </c>
      <c r="I767" s="46" t="str">
        <f>IF(E767&lt;&gt;"",IF(F767=E767,"No Change",IF(F767&gt;E767,"Increase","Decrease")),"New")</f>
        <v>Increase</v>
      </c>
      <c r="J767" s="58" t="s">
        <v>122</v>
      </c>
      <c r="K767" s="59" t="str">
        <f>IF(LEN(J767)&gt;0,IF(OR(ISLOGICAL(J767),J767="TRUE"),"Yes",""),"")</f>
      </c>
      <c r="L767" s="59"/>
      <c r="M767" s="59"/>
      <c r="N767" s="62" t="str">
        <f>IF(LEN(M767)&gt;0,IF(OR(ISLOGICAL(M767),M767="TRUE"),"Yes",""),"")</f>
      </c>
      <c r="O767" s="59"/>
      <c r="P767" s="62" t="str">
        <f>IF(LEN(O767)&gt;0,IF(OR(ISLOGICAL(O767),O767="TRUE"),"Yes",""),"")</f>
      </c>
      <c r="Q767" s="62" t="s">
        <v>109</v>
      </c>
      <c r="R767" s="63"/>
    </row>
    <row r="768" spans="1:18" s="47" customFormat="1" ht="51">
      <c r="A768" s="63" t="s">
        <v>1610</v>
      </c>
      <c r="B768" s="63" t="s">
        <v>96</v>
      </c>
      <c r="C768" s="63" t="s">
        <v>1611</v>
      </c>
      <c r="D768" s="61"/>
      <c r="E768" s="45">
        <v>0.1375</v>
      </c>
      <c r="F768" s="45">
        <v>0.1375</v>
      </c>
      <c r="G768" s="66">
        <v>46092</v>
      </c>
      <c r="H768" s="45" t="str">
        <f>IF(ISNUMBER(E768),F768-E768,"N/A")</f>
        <v>N/A</v>
      </c>
      <c r="I768" s="46" t="str">
        <f>IF(E768&lt;&gt;"",IF(F768=E768,"No Change",IF(F768&gt;E768,"Increase","Decrease")),"New")</f>
        <v>Increase</v>
      </c>
      <c r="J768" s="58"/>
      <c r="K768" s="59" t="str">
        <f>IF(LEN(J768)&gt;0,IF(OR(ISLOGICAL(J768),J768="TRUE"),"Yes",""),"")</f>
      </c>
      <c r="L768" s="59"/>
      <c r="M768" s="59"/>
      <c r="N768" s="62" t="str">
        <f>IF(LEN(M768)&gt;0,IF(OR(ISLOGICAL(M768),M768="TRUE"),"Yes",""),"")</f>
      </c>
      <c r="O768" s="59"/>
      <c r="P768" s="62" t="str">
        <f>IF(LEN(O768)&gt;0,IF(OR(ISLOGICAL(O768),O768="TRUE"),"Yes",""),"")</f>
      </c>
      <c r="Q768" s="62" t="s">
        <v>98</v>
      </c>
      <c r="R768" s="63"/>
    </row>
    <row r="769" spans="1:18" s="47" customFormat="1" ht="51">
      <c r="A769" s="63" t="s">
        <v>1612</v>
      </c>
      <c r="B769" s="63" t="s">
        <v>96</v>
      </c>
      <c r="C769" s="63" t="s">
        <v>1613</v>
      </c>
      <c r="D769" s="61"/>
      <c r="E769" s="45">
        <v>0.1375</v>
      </c>
      <c r="F769" s="45">
        <v>0.1375</v>
      </c>
      <c r="G769" s="66">
        <v>46082</v>
      </c>
      <c r="H769" s="45" t="str">
        <f>IF(ISNUMBER(E769),F769-E769,"N/A")</f>
        <v>N/A</v>
      </c>
      <c r="I769" s="46" t="str">
        <f>IF(E769&lt;&gt;"",IF(F769=E769,"No Change",IF(F769&gt;E769,"Increase","Decrease")),"New")</f>
        <v>Increase</v>
      </c>
      <c r="J769" s="58"/>
      <c r="K769" s="59" t="str">
        <f>IF(LEN(J769)&gt;0,IF(OR(ISLOGICAL(J769),J769="TRUE"),"Yes",""),"")</f>
      </c>
      <c r="L769" s="59"/>
      <c r="M769" s="59"/>
      <c r="N769" s="62" t="str">
        <f>IF(LEN(M769)&gt;0,IF(OR(ISLOGICAL(M769),M769="TRUE"),"Yes",""),"")</f>
      </c>
      <c r="O769" s="59"/>
      <c r="P769" s="62" t="str">
        <f>IF(LEN(O769)&gt;0,IF(OR(ISLOGICAL(O769),O769="TRUE"),"Yes",""),"")</f>
      </c>
      <c r="Q769" s="62" t="s">
        <v>98</v>
      </c>
      <c r="R769" s="63"/>
    </row>
    <row r="770" spans="1:18" s="47" customFormat="1" ht="51">
      <c r="A770" s="63" t="s">
        <v>1614</v>
      </c>
      <c r="B770" s="63" t="s">
        <v>96</v>
      </c>
      <c r="C770" s="63" t="s">
        <v>1615</v>
      </c>
      <c r="D770" s="61"/>
      <c r="E770" s="45">
        <v>0.1375</v>
      </c>
      <c r="F770" s="45">
        <v>0.1375</v>
      </c>
      <c r="G770" s="66">
        <v>46082</v>
      </c>
      <c r="H770" s="45" t="str">
        <f>IF(ISNUMBER(E770),F770-E770,"N/A")</f>
        <v>N/A</v>
      </c>
      <c r="I770" s="46" t="str">
        <f>IF(E770&lt;&gt;"",IF(F770=E770,"No Change",IF(F770&gt;E770,"Increase","Decrease")),"New")</f>
        <v>Increase</v>
      </c>
      <c r="J770" s="58"/>
      <c r="K770" s="59" t="str">
        <f>IF(LEN(J770)&gt;0,IF(OR(ISLOGICAL(J770),J770="TRUE"),"Yes",""),"")</f>
      </c>
      <c r="L770" s="59"/>
      <c r="M770" s="59"/>
      <c r="N770" s="62" t="str">
        <f>IF(LEN(M770)&gt;0,IF(OR(ISLOGICAL(M770),M770="TRUE"),"Yes",""),"")</f>
      </c>
      <c r="O770" s="59"/>
      <c r="P770" s="62" t="str">
        <f>IF(LEN(O770)&gt;0,IF(OR(ISLOGICAL(O770),O770="TRUE"),"Yes",""),"")</f>
      </c>
      <c r="Q770" s="62" t="s">
        <v>98</v>
      </c>
      <c r="R770" s="63"/>
    </row>
    <row r="771" spans="1:18" s="47" customFormat="1" ht="51">
      <c r="A771" s="63" t="s">
        <v>1616</v>
      </c>
      <c r="B771" s="63" t="s">
        <v>96</v>
      </c>
      <c r="C771" s="63" t="s">
        <v>1617</v>
      </c>
      <c r="D771" s="61"/>
      <c r="E771" s="45">
        <v>0.1375</v>
      </c>
      <c r="F771" s="45">
        <v>0.1375</v>
      </c>
      <c r="G771" s="66">
        <v>46082</v>
      </c>
      <c r="H771" s="45" t="str">
        <f>IF(ISNUMBER(E771),F771-E771,"N/A")</f>
        <v>N/A</v>
      </c>
      <c r="I771" s="46" t="str">
        <f>IF(E771&lt;&gt;"",IF(F771=E771,"No Change",IF(F771&gt;E771,"Increase","Decrease")),"New")</f>
        <v>Increase</v>
      </c>
      <c r="J771" s="58"/>
      <c r="K771" s="59" t="str">
        <f>IF(LEN(J771)&gt;0,IF(OR(ISLOGICAL(J771),J771="TRUE"),"Yes",""),"")</f>
      </c>
      <c r="L771" s="59"/>
      <c r="M771" s="59"/>
      <c r="N771" s="62" t="str">
        <f>IF(LEN(M771)&gt;0,IF(OR(ISLOGICAL(M771),M771="TRUE"),"Yes",""),"")</f>
      </c>
      <c r="O771" s="59"/>
      <c r="P771" s="62" t="str">
        <f>IF(LEN(O771)&gt;0,IF(OR(ISLOGICAL(O771),O771="TRUE"),"Yes",""),"")</f>
      </c>
      <c r="Q771" s="62" t="s">
        <v>98</v>
      </c>
      <c r="R771" s="63"/>
    </row>
    <row r="772" spans="1:18" s="47" customFormat="1" ht="51">
      <c r="A772" s="63" t="s">
        <v>1618</v>
      </c>
      <c r="B772" s="63" t="s">
        <v>96</v>
      </c>
      <c r="C772" s="63" t="s">
        <v>1619</v>
      </c>
      <c r="D772" s="61"/>
      <c r="E772" s="45">
        <v>1.16</v>
      </c>
      <c r="F772" s="45">
        <v>1.16</v>
      </c>
      <c r="G772" s="66">
        <v>45714</v>
      </c>
      <c r="H772" s="45" t="str">
        <f>IF(ISNUMBER(E772),F772-E772,"N/A")</f>
        <v>N/A</v>
      </c>
      <c r="I772" s="46" t="str">
        <f>IF(E772&lt;&gt;"",IF(F772=E772,"No Change",IF(F772&gt;E772,"Increase","Decrease")),"New")</f>
        <v>Increase</v>
      </c>
      <c r="J772" s="58"/>
      <c r="K772" s="59" t="str">
        <f>IF(LEN(J772)&gt;0,IF(OR(ISLOGICAL(J772),J772="TRUE"),"Yes",""),"")</f>
      </c>
      <c r="L772" s="59"/>
      <c r="M772" s="59"/>
      <c r="N772" s="62" t="str">
        <f>IF(LEN(M772)&gt;0,IF(OR(ISLOGICAL(M772),M772="TRUE"),"Yes",""),"")</f>
      </c>
      <c r="O772" s="59"/>
      <c r="P772" s="62" t="str">
        <f>IF(LEN(O772)&gt;0,IF(OR(ISLOGICAL(O772),O772="TRUE"),"Yes",""),"")</f>
      </c>
      <c r="Q772" s="62" t="s">
        <v>109</v>
      </c>
      <c r="R772" s="63"/>
    </row>
    <row r="773" spans="1:18" s="47" customFormat="1" ht="51">
      <c r="A773" s="63" t="s">
        <v>1620</v>
      </c>
      <c r="B773" s="63" t="s">
        <v>96</v>
      </c>
      <c r="C773" s="63" t="s">
        <v>1621</v>
      </c>
      <c r="D773" s="61"/>
      <c r="E773" s="45">
        <v>1.16</v>
      </c>
      <c r="F773" s="45">
        <v>1.16</v>
      </c>
      <c r="G773" s="66">
        <v>45717</v>
      </c>
      <c r="H773" s="45" t="str">
        <f>IF(ISNUMBER(E773),F773-E773,"N/A")</f>
        <v>N/A</v>
      </c>
      <c r="I773" s="46" t="str">
        <f>IF(E773&lt;&gt;"",IF(F773=E773,"No Change",IF(F773&gt;E773,"Increase","Decrease")),"New")</f>
        <v>Increase</v>
      </c>
      <c r="J773" s="58"/>
      <c r="K773" s="59" t="str">
        <f>IF(LEN(J773)&gt;0,IF(OR(ISLOGICAL(J773),J773="TRUE"),"Yes",""),"")</f>
      </c>
      <c r="L773" s="59"/>
      <c r="M773" s="59"/>
      <c r="N773" s="62" t="str">
        <f>IF(LEN(M773)&gt;0,IF(OR(ISLOGICAL(M773),M773="TRUE"),"Yes",""),"")</f>
      </c>
      <c r="O773" s="59"/>
      <c r="P773" s="62" t="str">
        <f>IF(LEN(O773)&gt;0,IF(OR(ISLOGICAL(O773),O773="TRUE"),"Yes",""),"")</f>
      </c>
      <c r="Q773" s="62" t="s">
        <v>109</v>
      </c>
      <c r="R773" s="63"/>
    </row>
    <row r="774" spans="1:18" s="47" customFormat="1" ht="51">
      <c r="A774" s="63" t="s">
        <v>1622</v>
      </c>
      <c r="B774" s="63" t="s">
        <v>96</v>
      </c>
      <c r="C774" s="63" t="s">
        <v>1623</v>
      </c>
      <c r="D774" s="61"/>
      <c r="E774" s="45">
        <v>1.16</v>
      </c>
      <c r="F774" s="45">
        <v>1.16</v>
      </c>
      <c r="G774" s="66">
        <v>45717</v>
      </c>
      <c r="H774" s="45" t="str">
        <f>IF(ISNUMBER(E774),F774-E774,"N/A")</f>
        <v>N/A</v>
      </c>
      <c r="I774" s="46" t="str">
        <f>IF(E774&lt;&gt;"",IF(F774=E774,"No Change",IF(F774&gt;E774,"Increase","Decrease")),"New")</f>
        <v>Increase</v>
      </c>
      <c r="J774" s="58"/>
      <c r="K774" s="59" t="str">
        <f>IF(LEN(J774)&gt;0,IF(OR(ISLOGICAL(J774),J774="TRUE"),"Yes",""),"")</f>
      </c>
      <c r="L774" s="59"/>
      <c r="M774" s="59"/>
      <c r="N774" s="62" t="str">
        <f>IF(LEN(M774)&gt;0,IF(OR(ISLOGICAL(M774),M774="TRUE"),"Yes",""),"")</f>
      </c>
      <c r="O774" s="59"/>
      <c r="P774" s="62" t="str">
        <f>IF(LEN(O774)&gt;0,IF(OR(ISLOGICAL(O774),O774="TRUE"),"Yes",""),"")</f>
      </c>
      <c r="Q774" s="62" t="s">
        <v>109</v>
      </c>
      <c r="R774" s="63"/>
    </row>
    <row r="775" spans="1:18" s="47" customFormat="1" ht="51">
      <c r="A775" s="63" t="s">
        <v>1624</v>
      </c>
      <c r="B775" s="63" t="s">
        <v>96</v>
      </c>
      <c r="C775" s="63" t="s">
        <v>1625</v>
      </c>
      <c r="D775" s="61"/>
      <c r="E775" s="45">
        <v>0.1205</v>
      </c>
      <c r="F775" s="45">
        <v>0.1205</v>
      </c>
      <c r="G775" s="66">
        <v>46022</v>
      </c>
      <c r="H775" s="45" t="str">
        <f>IF(ISNUMBER(E775),F775-E775,"N/A")</f>
        <v>N/A</v>
      </c>
      <c r="I775" s="46" t="str">
        <f>IF(E775&lt;&gt;"",IF(F775=E775,"No Change",IF(F775&gt;E775,"Increase","Decrease")),"New")</f>
        <v>Increase</v>
      </c>
      <c r="J775" s="58"/>
      <c r="K775" s="59" t="str">
        <f>IF(LEN(J775)&gt;0,IF(OR(ISLOGICAL(J775),J775="TRUE"),"Yes",""),"")</f>
      </c>
      <c r="L775" s="59"/>
      <c r="M775" s="59"/>
      <c r="N775" s="62" t="str">
        <f>IF(LEN(M775)&gt;0,IF(OR(ISLOGICAL(M775),M775="TRUE"),"Yes",""),"")</f>
      </c>
      <c r="O775" s="59"/>
      <c r="P775" s="62" t="str">
        <f>IF(LEN(O775)&gt;0,IF(OR(ISLOGICAL(O775),O775="TRUE"),"Yes",""),"")</f>
      </c>
      <c r="Q775" s="62" t="s">
        <v>109</v>
      </c>
      <c r="R775" s="63"/>
    </row>
    <row r="776" spans="1:18" s="47" customFormat="1" ht="51">
      <c r="A776" s="63" t="s">
        <v>1626</v>
      </c>
      <c r="B776" s="63" t="s">
        <v>96</v>
      </c>
      <c r="C776" s="63" t="s">
        <v>1627</v>
      </c>
      <c r="D776" s="61"/>
      <c r="E776" s="45">
        <v>0.1205</v>
      </c>
      <c r="F776" s="45">
        <v>0.1205</v>
      </c>
      <c r="G776" s="66">
        <v>45448</v>
      </c>
      <c r="H776" s="45" t="str">
        <f>IF(ISNUMBER(E776),F776-E776,"N/A")</f>
        <v>N/A</v>
      </c>
      <c r="I776" s="46" t="str">
        <f>IF(E776&lt;&gt;"",IF(F776=E776,"No Change",IF(F776&gt;E776,"Increase","Decrease")),"New")</f>
        <v>Increase</v>
      </c>
      <c r="J776" s="58"/>
      <c r="K776" s="59" t="str">
        <f>IF(LEN(J776)&gt;0,IF(OR(ISLOGICAL(J776),J776="TRUE"),"Yes",""),"")</f>
      </c>
      <c r="L776" s="59"/>
      <c r="M776" s="59"/>
      <c r="N776" s="62" t="str">
        <f>IF(LEN(M776)&gt;0,IF(OR(ISLOGICAL(M776),M776="TRUE"),"Yes",""),"")</f>
      </c>
      <c r="O776" s="59"/>
      <c r="P776" s="62" t="str">
        <f>IF(LEN(O776)&gt;0,IF(OR(ISLOGICAL(O776),O776="TRUE"),"Yes",""),"")</f>
      </c>
      <c r="Q776" s="62" t="s">
        <v>109</v>
      </c>
      <c r="R776" s="63"/>
    </row>
    <row r="777" spans="1:18" s="47" customFormat="1" ht="51">
      <c r="A777" s="63" t="s">
        <v>1628</v>
      </c>
      <c r="B777" s="63" t="s">
        <v>96</v>
      </c>
      <c r="C777" s="63" t="s">
        <v>1629</v>
      </c>
      <c r="D777" s="61"/>
      <c r="E777" s="45">
        <v>0.1175</v>
      </c>
      <c r="F777" s="45">
        <v>0.1175</v>
      </c>
      <c r="G777" s="66">
        <v>45448</v>
      </c>
      <c r="H777" s="45" t="str">
        <f>IF(ISNUMBER(E777),F777-E777,"N/A")</f>
        <v>N/A</v>
      </c>
      <c r="I777" s="46" t="str">
        <f>IF(E777&lt;&gt;"",IF(F777=E777,"No Change",IF(F777&gt;E777,"Increase","Decrease")),"New")</f>
        <v>Increase</v>
      </c>
      <c r="J777" s="58" t="s">
        <v>122</v>
      </c>
      <c r="K777" s="59" t="str">
        <f>IF(LEN(J777)&gt;0,IF(OR(ISLOGICAL(J777),J777="TRUE"),"Yes",""),"")</f>
      </c>
      <c r="L777" s="59"/>
      <c r="M777" s="59"/>
      <c r="N777" s="62" t="str">
        <f>IF(LEN(M777)&gt;0,IF(OR(ISLOGICAL(M777),M777="TRUE"),"Yes",""),"")</f>
      </c>
      <c r="O777" s="59"/>
      <c r="P777" s="62" t="str">
        <f>IF(LEN(O777)&gt;0,IF(OR(ISLOGICAL(O777),O777="TRUE"),"Yes",""),"")</f>
      </c>
      <c r="Q777" s="62" t="s">
        <v>109</v>
      </c>
      <c r="R777" s="63"/>
    </row>
    <row r="778" spans="1:18" s="47" customFormat="1" ht="51">
      <c r="A778" s="63" t="s">
        <v>1630</v>
      </c>
      <c r="B778" s="63" t="s">
        <v>96</v>
      </c>
      <c r="C778" s="63" t="s">
        <v>1631</v>
      </c>
      <c r="D778" s="61"/>
      <c r="E778" s="45">
        <v>0.1225</v>
      </c>
      <c r="F778" s="45">
        <v>0.1225</v>
      </c>
      <c r="G778" s="66">
        <v>46029</v>
      </c>
      <c r="H778" s="45" t="str">
        <f>IF(ISNUMBER(E778),F778-E778,"N/A")</f>
        <v>N/A</v>
      </c>
      <c r="I778" s="46" t="str">
        <f>IF(E778&lt;&gt;"",IF(F778=E778,"No Change",IF(F778&gt;E778,"Increase","Decrease")),"New")</f>
        <v>Increase</v>
      </c>
      <c r="J778" s="58" t="s">
        <v>122</v>
      </c>
      <c r="K778" s="59" t="str">
        <f>IF(LEN(J778)&gt;0,IF(OR(ISLOGICAL(J778),J778="TRUE"),"Yes",""),"")</f>
      </c>
      <c r="L778" s="59"/>
      <c r="M778" s="59"/>
      <c r="N778" s="62" t="str">
        <f>IF(LEN(M778)&gt;0,IF(OR(ISLOGICAL(M778),M778="TRUE"),"Yes",""),"")</f>
      </c>
      <c r="O778" s="59"/>
      <c r="P778" s="62" t="str">
        <f>IF(LEN(O778)&gt;0,IF(OR(ISLOGICAL(O778),O778="TRUE"),"Yes",""),"")</f>
      </c>
      <c r="Q778" s="62" t="s">
        <v>109</v>
      </c>
      <c r="R778" s="63"/>
    </row>
    <row r="779" spans="1:18" s="47" customFormat="1" ht="51">
      <c r="A779" s="63" t="s">
        <v>1632</v>
      </c>
      <c r="B779" s="63" t="s">
        <v>96</v>
      </c>
      <c r="C779" s="63" t="s">
        <v>1633</v>
      </c>
      <c r="D779" s="61"/>
      <c r="E779" s="45">
        <v>0.185</v>
      </c>
      <c r="F779" s="45">
        <v>0.185</v>
      </c>
      <c r="G779" s="66">
        <v>46113</v>
      </c>
      <c r="H779" s="45" t="str">
        <f>IF(ISNUMBER(E779),F779-E779,"N/A")</f>
        <v>N/A</v>
      </c>
      <c r="I779" s="46" t="str">
        <f>IF(E779&lt;&gt;"",IF(F779=E779,"No Change",IF(F779&gt;E779,"Increase","Decrease")),"New")</f>
        <v>Increase</v>
      </c>
      <c r="J779" s="58" t="s">
        <v>122</v>
      </c>
      <c r="K779" s="59" t="str">
        <f>IF(LEN(J779)&gt;0,IF(OR(ISLOGICAL(J779),J779="TRUE"),"Yes",""),"")</f>
      </c>
      <c r="L779" s="59"/>
      <c r="M779" s="59"/>
      <c r="N779" s="62" t="str">
        <f>IF(LEN(M779)&gt;0,IF(OR(ISLOGICAL(M779),M779="TRUE"),"Yes",""),"")</f>
      </c>
      <c r="O779" s="59"/>
      <c r="P779" s="62" t="str">
        <f>IF(LEN(O779)&gt;0,IF(OR(ISLOGICAL(O779),O779="TRUE"),"Yes",""),"")</f>
      </c>
      <c r="Q779" s="62" t="s">
        <v>109</v>
      </c>
      <c r="R779" s="63"/>
    </row>
    <row r="780" spans="1:18" s="47" customFormat="1" ht="51">
      <c r="A780" s="63" t="s">
        <v>1634</v>
      </c>
      <c r="B780" s="63" t="s">
        <v>96</v>
      </c>
      <c r="C780" s="63" t="s">
        <v>1635</v>
      </c>
      <c r="D780" s="61"/>
      <c r="E780" s="45">
        <v>0.17</v>
      </c>
      <c r="F780" s="45">
        <v>0.17</v>
      </c>
      <c r="G780" s="66">
        <v>46078</v>
      </c>
      <c r="H780" s="45" t="str">
        <f>IF(ISNUMBER(E780),F780-E780,"N/A")</f>
        <v>N/A</v>
      </c>
      <c r="I780" s="46" t="str">
        <f>IF(E780&lt;&gt;"",IF(F780=E780,"No Change",IF(F780&gt;E780,"Increase","Decrease")),"New")</f>
        <v>Increase</v>
      </c>
      <c r="J780" s="58"/>
      <c r="K780" s="59" t="str">
        <f>IF(LEN(J780)&gt;0,IF(OR(ISLOGICAL(J780),J780="TRUE"),"Yes",""),"")</f>
      </c>
      <c r="L780" s="59"/>
      <c r="M780" s="59"/>
      <c r="N780" s="62" t="str">
        <f>IF(LEN(M780)&gt;0,IF(OR(ISLOGICAL(M780),M780="TRUE"),"Yes",""),"")</f>
      </c>
      <c r="O780" s="59"/>
      <c r="P780" s="62" t="str">
        <f>IF(LEN(O780)&gt;0,IF(OR(ISLOGICAL(O780),O780="TRUE"),"Yes",""),"")</f>
      </c>
      <c r="Q780" s="62" t="s">
        <v>98</v>
      </c>
      <c r="R780" s="63"/>
    </row>
    <row r="781" spans="1:18" s="47" customFormat="1" ht="51">
      <c r="A781" s="63" t="s">
        <v>1636</v>
      </c>
      <c r="B781" s="63" t="s">
        <v>96</v>
      </c>
      <c r="C781" s="63" t="s">
        <v>1637</v>
      </c>
      <c r="D781" s="61"/>
      <c r="E781" s="45">
        <v>0.235</v>
      </c>
      <c r="F781" s="45">
        <v>0.235</v>
      </c>
      <c r="G781" s="66">
        <v>46078</v>
      </c>
      <c r="H781" s="45" t="str">
        <f>IF(ISNUMBER(E781),F781-E781,"N/A")</f>
        <v>N/A</v>
      </c>
      <c r="I781" s="46" t="str">
        <f>IF(E781&lt;&gt;"",IF(F781=E781,"No Change",IF(F781&gt;E781,"Increase","Decrease")),"New")</f>
        <v>Increase</v>
      </c>
      <c r="J781" s="58"/>
      <c r="K781" s="59" t="str">
        <f>IF(LEN(J781)&gt;0,IF(OR(ISLOGICAL(J781),J781="TRUE"),"Yes",""),"")</f>
      </c>
      <c r="L781" s="59"/>
      <c r="M781" s="59"/>
      <c r="N781" s="62" t="str">
        <f>IF(LEN(M781)&gt;0,IF(OR(ISLOGICAL(M781),M781="TRUE"),"Yes",""),"")</f>
      </c>
      <c r="O781" s="59"/>
      <c r="P781" s="62" t="str">
        <f>IF(LEN(O781)&gt;0,IF(OR(ISLOGICAL(O781),O781="TRUE"),"Yes",""),"")</f>
      </c>
      <c r="Q781" s="62" t="s">
        <v>98</v>
      </c>
      <c r="R781" s="63"/>
    </row>
    <row r="782" spans="1:18" s="47" customFormat="1" ht="51">
      <c r="A782" s="63" t="s">
        <v>1638</v>
      </c>
      <c r="B782" s="63" t="s">
        <v>96</v>
      </c>
      <c r="C782" s="63" t="s">
        <v>1639</v>
      </c>
      <c r="D782" s="61"/>
      <c r="E782" s="45">
        <v>0.235</v>
      </c>
      <c r="F782" s="45">
        <v>0.235</v>
      </c>
      <c r="G782" s="66">
        <v>46082</v>
      </c>
      <c r="H782" s="45" t="str">
        <f>IF(ISNUMBER(E782),F782-E782,"N/A")</f>
        <v>N/A</v>
      </c>
      <c r="I782" s="46" t="str">
        <f>IF(E782&lt;&gt;"",IF(F782=E782,"No Change",IF(F782&gt;E782,"Increase","Decrease")),"New")</f>
        <v>Increase</v>
      </c>
      <c r="J782" s="58"/>
      <c r="K782" s="59" t="str">
        <f>IF(LEN(J782)&gt;0,IF(OR(ISLOGICAL(J782),J782="TRUE"),"Yes",""),"")</f>
      </c>
      <c r="L782" s="59"/>
      <c r="M782" s="59"/>
      <c r="N782" s="62" t="str">
        <f>IF(LEN(M782)&gt;0,IF(OR(ISLOGICAL(M782),M782="TRUE"),"Yes",""),"")</f>
      </c>
      <c r="O782" s="59"/>
      <c r="P782" s="62" t="str">
        <f>IF(LEN(O782)&gt;0,IF(OR(ISLOGICAL(O782),O782="TRUE"),"Yes",""),"")</f>
      </c>
      <c r="Q782" s="62" t="s">
        <v>98</v>
      </c>
      <c r="R782" s="63"/>
    </row>
    <row r="783" spans="1:18" s="47" customFormat="1" ht="51">
      <c r="A783" s="63" t="s">
        <v>1640</v>
      </c>
      <c r="B783" s="63" t="s">
        <v>96</v>
      </c>
      <c r="C783" s="63" t="s">
        <v>1641</v>
      </c>
      <c r="D783" s="61"/>
      <c r="E783" s="45">
        <v>0.235</v>
      </c>
      <c r="F783" s="45">
        <v>0.235</v>
      </c>
      <c r="G783" s="66">
        <v>46082</v>
      </c>
      <c r="H783" s="45" t="str">
        <f>IF(ISNUMBER(E783),F783-E783,"N/A")</f>
        <v>N/A</v>
      </c>
      <c r="I783" s="46" t="str">
        <f>IF(E783&lt;&gt;"",IF(F783=E783,"No Change",IF(F783&gt;E783,"Increase","Decrease")),"New")</f>
        <v>Increase</v>
      </c>
      <c r="J783" s="58"/>
      <c r="K783" s="59" t="str">
        <f>IF(LEN(J783)&gt;0,IF(OR(ISLOGICAL(J783),J783="TRUE"),"Yes",""),"")</f>
      </c>
      <c r="L783" s="59"/>
      <c r="M783" s="59"/>
      <c r="N783" s="62" t="str">
        <f>IF(LEN(M783)&gt;0,IF(OR(ISLOGICAL(M783),M783="TRUE"),"Yes",""),"")</f>
      </c>
      <c r="O783" s="59"/>
      <c r="P783" s="62" t="str">
        <f>IF(LEN(O783)&gt;0,IF(OR(ISLOGICAL(O783),O783="TRUE"),"Yes",""),"")</f>
      </c>
      <c r="Q783" s="62" t="s">
        <v>98</v>
      </c>
      <c r="R783" s="63"/>
    </row>
    <row r="784" spans="1:18" s="47" customFormat="1" ht="51">
      <c r="A784" s="63" t="s">
        <v>1642</v>
      </c>
      <c r="B784" s="63" t="s">
        <v>96</v>
      </c>
      <c r="C784" s="63" t="s">
        <v>1643</v>
      </c>
      <c r="D784" s="61"/>
      <c r="E784" s="45">
        <v>0.235</v>
      </c>
      <c r="F784" s="45">
        <v>0.235</v>
      </c>
      <c r="G784" s="66">
        <v>46082</v>
      </c>
      <c r="H784" s="45" t="str">
        <f>IF(ISNUMBER(E784),F784-E784,"N/A")</f>
        <v>N/A</v>
      </c>
      <c r="I784" s="46" t="str">
        <f>IF(E784&lt;&gt;"",IF(F784=E784,"No Change",IF(F784&gt;E784,"Increase","Decrease")),"New")</f>
        <v>Increase</v>
      </c>
      <c r="J784" s="58"/>
      <c r="K784" s="59" t="str">
        <f>IF(LEN(J784)&gt;0,IF(OR(ISLOGICAL(J784),J784="TRUE"),"Yes",""),"")</f>
      </c>
      <c r="L784" s="59"/>
      <c r="M784" s="59"/>
      <c r="N784" s="62" t="str">
        <f>IF(LEN(M784)&gt;0,IF(OR(ISLOGICAL(M784),M784="TRUE"),"Yes",""),"")</f>
      </c>
      <c r="O784" s="59"/>
      <c r="P784" s="62" t="str">
        <f>IF(LEN(O784)&gt;0,IF(OR(ISLOGICAL(O784),O784="TRUE"),"Yes",""),"")</f>
      </c>
      <c r="Q784" s="62" t="s">
        <v>98</v>
      </c>
      <c r="R784" s="63"/>
    </row>
    <row r="785" spans="1:18" s="47" customFormat="1" ht="51">
      <c r="A785" s="63" t="s">
        <v>1644</v>
      </c>
      <c r="B785" s="63" t="s">
        <v>96</v>
      </c>
      <c r="C785" s="63" t="s">
        <v>1645</v>
      </c>
      <c r="D785" s="61"/>
      <c r="E785" s="45">
        <v>0.235</v>
      </c>
      <c r="F785" s="45">
        <v>0.235</v>
      </c>
      <c r="G785" s="66">
        <v>46082</v>
      </c>
      <c r="H785" s="45" t="str">
        <f>IF(ISNUMBER(E785),F785-E785,"N/A")</f>
        <v>N/A</v>
      </c>
      <c r="I785" s="46" t="str">
        <f>IF(E785&lt;&gt;"",IF(F785=E785,"No Change",IF(F785&gt;E785,"Increase","Decrease")),"New")</f>
        <v>Increase</v>
      </c>
      <c r="J785" s="58"/>
      <c r="K785" s="59" t="str">
        <f>IF(LEN(J785)&gt;0,IF(OR(ISLOGICAL(J785),J785="TRUE"),"Yes",""),"")</f>
      </c>
      <c r="L785" s="59"/>
      <c r="M785" s="59"/>
      <c r="N785" s="62" t="str">
        <f>IF(LEN(M785)&gt;0,IF(OR(ISLOGICAL(M785),M785="TRUE"),"Yes",""),"")</f>
      </c>
      <c r="O785" s="59"/>
      <c r="P785" s="62" t="str">
        <f>IF(LEN(O785)&gt;0,IF(OR(ISLOGICAL(O785),O785="TRUE"),"Yes",""),"")</f>
      </c>
      <c r="Q785" s="62" t="s">
        <v>98</v>
      </c>
      <c r="R785" s="63"/>
    </row>
    <row r="786" spans="1:18" s="47" customFormat="1" ht="51">
      <c r="A786" s="63" t="s">
        <v>1646</v>
      </c>
      <c r="B786" s="63" t="s">
        <v>96</v>
      </c>
      <c r="C786" s="63" t="s">
        <v>1647</v>
      </c>
      <c r="D786" s="61"/>
      <c r="E786" s="45">
        <v>0.235</v>
      </c>
      <c r="F786" s="45">
        <v>0.235</v>
      </c>
      <c r="G786" s="66">
        <v>46082</v>
      </c>
      <c r="H786" s="45" t="str">
        <f>IF(ISNUMBER(E786),F786-E786,"N/A")</f>
        <v>N/A</v>
      </c>
      <c r="I786" s="46" t="str">
        <f>IF(E786&lt;&gt;"",IF(F786=E786,"No Change",IF(F786&gt;E786,"Increase","Decrease")),"New")</f>
        <v>Increase</v>
      </c>
      <c r="J786" s="58"/>
      <c r="K786" s="59" t="str">
        <f>IF(LEN(J786)&gt;0,IF(OR(ISLOGICAL(J786),J786="TRUE"),"Yes",""),"")</f>
      </c>
      <c r="L786" s="59"/>
      <c r="M786" s="59"/>
      <c r="N786" s="62" t="str">
        <f>IF(LEN(M786)&gt;0,IF(OR(ISLOGICAL(M786),M786="TRUE"),"Yes",""),"")</f>
      </c>
      <c r="O786" s="59"/>
      <c r="P786" s="62" t="str">
        <f>IF(LEN(O786)&gt;0,IF(OR(ISLOGICAL(O786),O786="TRUE"),"Yes",""),"")</f>
      </c>
      <c r="Q786" s="62" t="s">
        <v>98</v>
      </c>
      <c r="R786" s="63"/>
    </row>
    <row r="787" spans="1:18" s="47" customFormat="1" ht="51">
      <c r="A787" s="63" t="s">
        <v>1648</v>
      </c>
      <c r="B787" s="63" t="s">
        <v>96</v>
      </c>
      <c r="C787" s="63" t="s">
        <v>1649</v>
      </c>
      <c r="D787" s="61"/>
      <c r="E787" s="45">
        <v>0.235</v>
      </c>
      <c r="F787" s="45">
        <v>0.235</v>
      </c>
      <c r="G787" s="66">
        <v>46082</v>
      </c>
      <c r="H787" s="45" t="str">
        <f>IF(ISNUMBER(E787),F787-E787,"N/A")</f>
        <v>N/A</v>
      </c>
      <c r="I787" s="46" t="str">
        <f>IF(E787&lt;&gt;"",IF(F787=E787,"No Change",IF(F787&gt;E787,"Increase","Decrease")),"New")</f>
        <v>Increase</v>
      </c>
      <c r="J787" s="58"/>
      <c r="K787" s="59" t="str">
        <f>IF(LEN(J787)&gt;0,IF(OR(ISLOGICAL(J787),J787="TRUE"),"Yes",""),"")</f>
      </c>
      <c r="L787" s="59"/>
      <c r="M787" s="59"/>
      <c r="N787" s="62" t="str">
        <f>IF(LEN(M787)&gt;0,IF(OR(ISLOGICAL(M787),M787="TRUE"),"Yes",""),"")</f>
      </c>
      <c r="O787" s="59"/>
      <c r="P787" s="62" t="str">
        <f>IF(LEN(O787)&gt;0,IF(OR(ISLOGICAL(O787),O787="TRUE"),"Yes",""),"")</f>
      </c>
      <c r="Q787" s="62" t="s">
        <v>98</v>
      </c>
      <c r="R787" s="63"/>
    </row>
    <row r="788" spans="1:18" s="47" customFormat="1" ht="51">
      <c r="A788" s="63" t="s">
        <v>1650</v>
      </c>
      <c r="B788" s="63" t="s">
        <v>96</v>
      </c>
      <c r="C788" s="63" t="s">
        <v>1651</v>
      </c>
      <c r="D788" s="61"/>
      <c r="E788" s="45">
        <v>0.235</v>
      </c>
      <c r="F788" s="45">
        <v>0.235</v>
      </c>
      <c r="G788" s="66">
        <v>46082</v>
      </c>
      <c r="H788" s="45" t="str">
        <f>IF(ISNUMBER(E788),F788-E788,"N/A")</f>
        <v>N/A</v>
      </c>
      <c r="I788" s="46" t="str">
        <f>IF(E788&lt;&gt;"",IF(F788=E788,"No Change",IF(F788&gt;E788,"Increase","Decrease")),"New")</f>
        <v>Increase</v>
      </c>
      <c r="J788" s="58"/>
      <c r="K788" s="59" t="str">
        <f>IF(LEN(J788)&gt;0,IF(OR(ISLOGICAL(J788),J788="TRUE"),"Yes",""),"")</f>
      </c>
      <c r="L788" s="59"/>
      <c r="M788" s="59"/>
      <c r="N788" s="62" t="str">
        <f>IF(LEN(M788)&gt;0,IF(OR(ISLOGICAL(M788),M788="TRUE"),"Yes",""),"")</f>
      </c>
      <c r="O788" s="59"/>
      <c r="P788" s="62" t="str">
        <f>IF(LEN(O788)&gt;0,IF(OR(ISLOGICAL(O788),O788="TRUE"),"Yes",""),"")</f>
      </c>
      <c r="Q788" s="62" t="s">
        <v>98</v>
      </c>
      <c r="R788" s="63"/>
    </row>
    <row r="789" spans="1:18" s="47" customFormat="1" ht="51">
      <c r="A789" s="63" t="s">
        <v>1652</v>
      </c>
      <c r="B789" s="63" t="s">
        <v>96</v>
      </c>
      <c r="C789" s="63" t="s">
        <v>1653</v>
      </c>
      <c r="D789" s="61"/>
      <c r="E789" s="45">
        <v>0.235</v>
      </c>
      <c r="F789" s="45">
        <v>0.235</v>
      </c>
      <c r="G789" s="66">
        <v>46082</v>
      </c>
      <c r="H789" s="45" t="str">
        <f>IF(ISNUMBER(E789),F789-E789,"N/A")</f>
        <v>N/A</v>
      </c>
      <c r="I789" s="46" t="str">
        <f>IF(E789&lt;&gt;"",IF(F789=E789,"No Change",IF(F789&gt;E789,"Increase","Decrease")),"New")</f>
        <v>Increase</v>
      </c>
      <c r="J789" s="58"/>
      <c r="K789" s="59" t="str">
        <f>IF(LEN(J789)&gt;0,IF(OR(ISLOGICAL(J789),J789="TRUE"),"Yes",""),"")</f>
      </c>
      <c r="L789" s="59"/>
      <c r="M789" s="59"/>
      <c r="N789" s="62" t="str">
        <f>IF(LEN(M789)&gt;0,IF(OR(ISLOGICAL(M789),M789="TRUE"),"Yes",""),"")</f>
      </c>
      <c r="O789" s="59"/>
      <c r="P789" s="62" t="str">
        <f>IF(LEN(O789)&gt;0,IF(OR(ISLOGICAL(O789),O789="TRUE"),"Yes",""),"")</f>
      </c>
      <c r="Q789" s="62" t="s">
        <v>98</v>
      </c>
      <c r="R789" s="63"/>
    </row>
    <row r="790" spans="1:18" s="47" customFormat="1" ht="51">
      <c r="A790" s="63" t="s">
        <v>1654</v>
      </c>
      <c r="B790" s="63" t="s">
        <v>96</v>
      </c>
      <c r="C790" s="63" t="s">
        <v>1655</v>
      </c>
      <c r="D790" s="61"/>
      <c r="E790" s="45">
        <v>0.235</v>
      </c>
      <c r="F790" s="45">
        <v>0.235</v>
      </c>
      <c r="G790" s="66">
        <v>46082</v>
      </c>
      <c r="H790" s="45" t="str">
        <f>IF(ISNUMBER(E790),F790-E790,"N/A")</f>
        <v>N/A</v>
      </c>
      <c r="I790" s="46" t="str">
        <f>IF(E790&lt;&gt;"",IF(F790=E790,"No Change",IF(F790&gt;E790,"Increase","Decrease")),"New")</f>
        <v>Increase</v>
      </c>
      <c r="J790" s="58"/>
      <c r="K790" s="59" t="str">
        <f>IF(LEN(J790)&gt;0,IF(OR(ISLOGICAL(J790),J790="TRUE"),"Yes",""),"")</f>
      </c>
      <c r="L790" s="59"/>
      <c r="M790" s="59"/>
      <c r="N790" s="62" t="str">
        <f>IF(LEN(M790)&gt;0,IF(OR(ISLOGICAL(M790),M790="TRUE"),"Yes",""),"")</f>
      </c>
      <c r="O790" s="59"/>
      <c r="P790" s="62" t="str">
        <f>IF(LEN(O790)&gt;0,IF(OR(ISLOGICAL(O790),O790="TRUE"),"Yes",""),"")</f>
      </c>
      <c r="Q790" s="62" t="s">
        <v>98</v>
      </c>
      <c r="R790" s="63"/>
    </row>
    <row r="791" spans="1:18" s="47" customFormat="1" ht="51">
      <c r="A791" s="63" t="s">
        <v>1656</v>
      </c>
      <c r="B791" s="63" t="s">
        <v>96</v>
      </c>
      <c r="C791" s="63" t="s">
        <v>1657</v>
      </c>
      <c r="D791" s="61"/>
      <c r="E791" s="45">
        <v>0.235</v>
      </c>
      <c r="F791" s="45">
        <v>0.235</v>
      </c>
      <c r="G791" s="66">
        <v>46082</v>
      </c>
      <c r="H791" s="45" t="str">
        <f>IF(ISNUMBER(E791),F791-E791,"N/A")</f>
        <v>N/A</v>
      </c>
      <c r="I791" s="46" t="str">
        <f>IF(E791&lt;&gt;"",IF(F791=E791,"No Change",IF(F791&gt;E791,"Increase","Decrease")),"New")</f>
        <v>Increase</v>
      </c>
      <c r="J791" s="58"/>
      <c r="K791" s="59" t="str">
        <f>IF(LEN(J791)&gt;0,IF(OR(ISLOGICAL(J791),J791="TRUE"),"Yes",""),"")</f>
      </c>
      <c r="L791" s="59"/>
      <c r="M791" s="59"/>
      <c r="N791" s="62" t="str">
        <f>IF(LEN(M791)&gt;0,IF(OR(ISLOGICAL(M791),M791="TRUE"),"Yes",""),"")</f>
      </c>
      <c r="O791" s="59"/>
      <c r="P791" s="62" t="str">
        <f>IF(LEN(O791)&gt;0,IF(OR(ISLOGICAL(O791),O791="TRUE"),"Yes",""),"")</f>
      </c>
      <c r="Q791" s="62" t="s">
        <v>98</v>
      </c>
      <c r="R791" s="63"/>
    </row>
    <row r="792" spans="1:18" s="47" customFormat="1" ht="51">
      <c r="A792" s="63" t="s">
        <v>1658</v>
      </c>
      <c r="B792" s="63" t="s">
        <v>96</v>
      </c>
      <c r="C792" s="63" t="s">
        <v>1659</v>
      </c>
      <c r="D792" s="61"/>
      <c r="E792" s="45">
        <v>0.235</v>
      </c>
      <c r="F792" s="45">
        <v>0.235</v>
      </c>
      <c r="G792" s="66">
        <v>46082</v>
      </c>
      <c r="H792" s="45" t="str">
        <f>IF(ISNUMBER(E792),F792-E792,"N/A")</f>
        <v>N/A</v>
      </c>
      <c r="I792" s="46" t="str">
        <f>IF(E792&lt;&gt;"",IF(F792=E792,"No Change",IF(F792&gt;E792,"Increase","Decrease")),"New")</f>
        <v>Increase</v>
      </c>
      <c r="J792" s="58"/>
      <c r="K792" s="59" t="str">
        <f>IF(LEN(J792)&gt;0,IF(OR(ISLOGICAL(J792),J792="TRUE"),"Yes",""),"")</f>
      </c>
      <c r="L792" s="59"/>
      <c r="M792" s="59"/>
      <c r="N792" s="62" t="str">
        <f>IF(LEN(M792)&gt;0,IF(OR(ISLOGICAL(M792),M792="TRUE"),"Yes",""),"")</f>
      </c>
      <c r="O792" s="59"/>
      <c r="P792" s="62" t="str">
        <f>IF(LEN(O792)&gt;0,IF(OR(ISLOGICAL(O792),O792="TRUE"),"Yes",""),"")</f>
      </c>
      <c r="Q792" s="62" t="s">
        <v>98</v>
      </c>
      <c r="R792" s="63"/>
    </row>
    <row r="793" spans="1:18" s="47" customFormat="1" ht="51">
      <c r="A793" s="63" t="s">
        <v>1660</v>
      </c>
      <c r="B793" s="63" t="s">
        <v>96</v>
      </c>
      <c r="C793" s="63" t="s">
        <v>1661</v>
      </c>
      <c r="D793" s="61"/>
      <c r="E793" s="45">
        <v>0.235</v>
      </c>
      <c r="F793" s="45">
        <v>0.235</v>
      </c>
      <c r="G793" s="66">
        <v>46082</v>
      </c>
      <c r="H793" s="45" t="str">
        <f>IF(ISNUMBER(E793),F793-E793,"N/A")</f>
        <v>N/A</v>
      </c>
      <c r="I793" s="46" t="str">
        <f>IF(E793&lt;&gt;"",IF(F793=E793,"No Change",IF(F793&gt;E793,"Increase","Decrease")),"New")</f>
        <v>Increase</v>
      </c>
      <c r="J793" s="58"/>
      <c r="K793" s="59" t="str">
        <f>IF(LEN(J793)&gt;0,IF(OR(ISLOGICAL(J793),J793="TRUE"),"Yes",""),"")</f>
      </c>
      <c r="L793" s="59"/>
      <c r="M793" s="59"/>
      <c r="N793" s="62" t="str">
        <f>IF(LEN(M793)&gt;0,IF(OR(ISLOGICAL(M793),M793="TRUE"),"Yes",""),"")</f>
      </c>
      <c r="O793" s="59"/>
      <c r="P793" s="62" t="str">
        <f>IF(LEN(O793)&gt;0,IF(OR(ISLOGICAL(O793),O793="TRUE"),"Yes",""),"")</f>
      </c>
      <c r="Q793" s="62" t="s">
        <v>98</v>
      </c>
      <c r="R793" s="63"/>
    </row>
    <row r="794" spans="1:18" s="47" customFormat="1" ht="51">
      <c r="A794" s="63" t="s">
        <v>1662</v>
      </c>
      <c r="B794" s="63" t="s">
        <v>96</v>
      </c>
      <c r="C794" s="63" t="s">
        <v>1663</v>
      </c>
      <c r="D794" s="61"/>
      <c r="E794" s="45">
        <v>0.235</v>
      </c>
      <c r="F794" s="45">
        <v>0.235</v>
      </c>
      <c r="G794" s="66">
        <v>46078</v>
      </c>
      <c r="H794" s="45" t="str">
        <f>IF(ISNUMBER(E794),F794-E794,"N/A")</f>
        <v>N/A</v>
      </c>
      <c r="I794" s="46" t="str">
        <f>IF(E794&lt;&gt;"",IF(F794=E794,"No Change",IF(F794&gt;E794,"Increase","Decrease")),"New")</f>
        <v>Increase</v>
      </c>
      <c r="J794" s="58"/>
      <c r="K794" s="59" t="str">
        <f>IF(LEN(J794)&gt;0,IF(OR(ISLOGICAL(J794),J794="TRUE"),"Yes",""),"")</f>
      </c>
      <c r="L794" s="59"/>
      <c r="M794" s="59"/>
      <c r="N794" s="62" t="str">
        <f>IF(LEN(M794)&gt;0,IF(OR(ISLOGICAL(M794),M794="TRUE"),"Yes",""),"")</f>
      </c>
      <c r="O794" s="59"/>
      <c r="P794" s="62" t="str">
        <f>IF(LEN(O794)&gt;0,IF(OR(ISLOGICAL(O794),O794="TRUE"),"Yes",""),"")</f>
      </c>
      <c r="Q794" s="62" t="s">
        <v>98</v>
      </c>
      <c r="R794" s="63"/>
    </row>
    <row r="795" spans="1:18" s="47" customFormat="1" ht="51">
      <c r="A795" s="63" t="s">
        <v>1664</v>
      </c>
      <c r="B795" s="63" t="s">
        <v>96</v>
      </c>
      <c r="C795" s="63" t="s">
        <v>1665</v>
      </c>
      <c r="D795" s="61"/>
      <c r="E795" s="45">
        <v>0.235</v>
      </c>
      <c r="F795" s="45">
        <v>0.235</v>
      </c>
      <c r="G795" s="66">
        <v>46082</v>
      </c>
      <c r="H795" s="45" t="str">
        <f>IF(ISNUMBER(E795),F795-E795,"N/A")</f>
        <v>N/A</v>
      </c>
      <c r="I795" s="46" t="str">
        <f>IF(E795&lt;&gt;"",IF(F795=E795,"No Change",IF(F795&gt;E795,"Increase","Decrease")),"New")</f>
        <v>Increase</v>
      </c>
      <c r="J795" s="58"/>
      <c r="K795" s="59" t="str">
        <f>IF(LEN(J795)&gt;0,IF(OR(ISLOGICAL(J795),J795="TRUE"),"Yes",""),"")</f>
      </c>
      <c r="L795" s="59"/>
      <c r="M795" s="59"/>
      <c r="N795" s="62" t="str">
        <f>IF(LEN(M795)&gt;0,IF(OR(ISLOGICAL(M795),M795="TRUE"),"Yes",""),"")</f>
      </c>
      <c r="O795" s="59"/>
      <c r="P795" s="62" t="str">
        <f>IF(LEN(O795)&gt;0,IF(OR(ISLOGICAL(O795),O795="TRUE"),"Yes",""),"")</f>
      </c>
      <c r="Q795" s="62" t="s">
        <v>98</v>
      </c>
      <c r="R795" s="63"/>
    </row>
    <row r="796" spans="1:18" s="47" customFormat="1" ht="51">
      <c r="A796" s="63" t="s">
        <v>1666</v>
      </c>
      <c r="B796" s="63" t="s">
        <v>96</v>
      </c>
      <c r="C796" s="63" t="s">
        <v>1667</v>
      </c>
      <c r="D796" s="61"/>
      <c r="E796" s="45">
        <v>0.18</v>
      </c>
      <c r="F796" s="45">
        <v>0.18</v>
      </c>
      <c r="G796" s="66">
        <v>46078</v>
      </c>
      <c r="H796" s="45" t="str">
        <f>IF(ISNUMBER(E796),F796-E796,"N/A")</f>
        <v>N/A</v>
      </c>
      <c r="I796" s="46" t="str">
        <f>IF(E796&lt;&gt;"",IF(F796=E796,"No Change",IF(F796&gt;E796,"Increase","Decrease")),"New")</f>
        <v>Increase</v>
      </c>
      <c r="J796" s="58" t="s">
        <v>122</v>
      </c>
      <c r="K796" s="59" t="str">
        <f>IF(LEN(J796)&gt;0,IF(OR(ISLOGICAL(J796),J796="TRUE"),"Yes",""),"")</f>
      </c>
      <c r="L796" s="59"/>
      <c r="M796" s="59"/>
      <c r="N796" s="62" t="str">
        <f>IF(LEN(M796)&gt;0,IF(OR(ISLOGICAL(M796),M796="TRUE"),"Yes",""),"")</f>
      </c>
      <c r="O796" s="59"/>
      <c r="P796" s="62" t="str">
        <f>IF(LEN(O796)&gt;0,IF(OR(ISLOGICAL(O796),O796="TRUE"),"Yes",""),"")</f>
      </c>
      <c r="Q796" s="62" t="s">
        <v>98</v>
      </c>
      <c r="R796" s="63"/>
    </row>
    <row r="797" spans="1:18" s="47" customFormat="1" ht="51">
      <c r="A797" s="63" t="s">
        <v>1668</v>
      </c>
      <c r="B797" s="63" t="s">
        <v>96</v>
      </c>
      <c r="C797" s="63" t="s">
        <v>1669</v>
      </c>
      <c r="D797" s="61"/>
      <c r="E797" s="45">
        <v>0.18</v>
      </c>
      <c r="F797" s="45">
        <v>0.18</v>
      </c>
      <c r="G797" s="66">
        <v>46015</v>
      </c>
      <c r="H797" s="45" t="str">
        <f>IF(ISNUMBER(E797),F797-E797,"N/A")</f>
        <v>N/A</v>
      </c>
      <c r="I797" s="46" t="str">
        <f>IF(E797&lt;&gt;"",IF(F797=E797,"No Change",IF(F797&gt;E797,"Increase","Decrease")),"New")</f>
        <v>Increase</v>
      </c>
      <c r="J797" s="58" t="s">
        <v>122</v>
      </c>
      <c r="K797" s="59" t="str">
        <f>IF(LEN(J797)&gt;0,IF(OR(ISLOGICAL(J797),J797="TRUE"),"Yes",""),"")</f>
      </c>
      <c r="L797" s="59"/>
      <c r="M797" s="59"/>
      <c r="N797" s="62" t="str">
        <f>IF(LEN(M797)&gt;0,IF(OR(ISLOGICAL(M797),M797="TRUE"),"Yes",""),"")</f>
      </c>
      <c r="O797" s="59"/>
      <c r="P797" s="62" t="str">
        <f>IF(LEN(O797)&gt;0,IF(OR(ISLOGICAL(O797),O797="TRUE"),"Yes",""),"")</f>
      </c>
      <c r="Q797" s="62" t="s">
        <v>98</v>
      </c>
      <c r="R797" s="63"/>
    </row>
    <row r="798" spans="1:18" s="47" customFormat="1" ht="51">
      <c r="A798" s="63" t="s">
        <v>1670</v>
      </c>
      <c r="B798" s="63" t="s">
        <v>96</v>
      </c>
      <c r="C798" s="63" t="s">
        <v>1671</v>
      </c>
      <c r="D798" s="61"/>
      <c r="E798" s="45">
        <v>0.18</v>
      </c>
      <c r="F798" s="45">
        <v>0.18</v>
      </c>
      <c r="G798" s="66">
        <v>46082</v>
      </c>
      <c r="H798" s="45" t="str">
        <f>IF(ISNUMBER(E798),F798-E798,"N/A")</f>
        <v>N/A</v>
      </c>
      <c r="I798" s="46" t="str">
        <f>IF(E798&lt;&gt;"",IF(F798=E798,"No Change",IF(F798&gt;E798,"Increase","Decrease")),"New")</f>
        <v>Increase</v>
      </c>
      <c r="J798" s="58"/>
      <c r="K798" s="59" t="str">
        <f>IF(LEN(J798)&gt;0,IF(OR(ISLOGICAL(J798),J798="TRUE"),"Yes",""),"")</f>
      </c>
      <c r="L798" s="59"/>
      <c r="M798" s="59"/>
      <c r="N798" s="62" t="str">
        <f>IF(LEN(M798)&gt;0,IF(OR(ISLOGICAL(M798),M798="TRUE"),"Yes",""),"")</f>
      </c>
      <c r="O798" s="59"/>
      <c r="P798" s="62" t="str">
        <f>IF(LEN(O798)&gt;0,IF(OR(ISLOGICAL(O798),O798="TRUE"),"Yes",""),"")</f>
      </c>
      <c r="Q798" s="62" t="s">
        <v>98</v>
      </c>
      <c r="R798" s="63"/>
    </row>
    <row r="799" spans="1:18" s="47" customFormat="1" ht="51">
      <c r="A799" s="63" t="s">
        <v>1672</v>
      </c>
      <c r="B799" s="63" t="s">
        <v>96</v>
      </c>
      <c r="C799" s="63" t="s">
        <v>1673</v>
      </c>
      <c r="D799" s="61"/>
      <c r="E799" s="45">
        <v>0.18</v>
      </c>
      <c r="F799" s="45">
        <v>0.18</v>
      </c>
      <c r="G799" s="66">
        <v>46092</v>
      </c>
      <c r="H799" s="45" t="str">
        <f>IF(ISNUMBER(E799),F799-E799,"N/A")</f>
        <v>N/A</v>
      </c>
      <c r="I799" s="46" t="str">
        <f>IF(E799&lt;&gt;"",IF(F799=E799,"No Change",IF(F799&gt;E799,"Increase","Decrease")),"New")</f>
        <v>Increase</v>
      </c>
      <c r="J799" s="58" t="s">
        <v>122</v>
      </c>
      <c r="K799" s="59" t="str">
        <f>IF(LEN(J799)&gt;0,IF(OR(ISLOGICAL(J799),J799="TRUE"),"Yes",""),"")</f>
      </c>
      <c r="L799" s="59"/>
      <c r="M799" s="59"/>
      <c r="N799" s="62" t="str">
        <f>IF(LEN(M799)&gt;0,IF(OR(ISLOGICAL(M799),M799="TRUE"),"Yes",""),"")</f>
      </c>
      <c r="O799" s="59"/>
      <c r="P799" s="62" t="str">
        <f>IF(LEN(O799)&gt;0,IF(OR(ISLOGICAL(O799),O799="TRUE"),"Yes",""),"")</f>
      </c>
      <c r="Q799" s="62" t="s">
        <v>98</v>
      </c>
      <c r="R799" s="63"/>
    </row>
    <row r="800" spans="1:18" s="47" customFormat="1" ht="51">
      <c r="A800" s="63" t="s">
        <v>1674</v>
      </c>
      <c r="B800" s="63" t="s">
        <v>96</v>
      </c>
      <c r="C800" s="63" t="s">
        <v>1675</v>
      </c>
      <c r="D800" s="61"/>
      <c r="E800" s="45">
        <v>0.18</v>
      </c>
      <c r="F800" s="45">
        <v>0.18</v>
      </c>
      <c r="G800" s="66">
        <v>46085</v>
      </c>
      <c r="H800" s="45" t="str">
        <f>IF(ISNUMBER(E800),F800-E800,"N/A")</f>
        <v>N/A</v>
      </c>
      <c r="I800" s="46" t="str">
        <f>IF(E800&lt;&gt;"",IF(F800=E800,"No Change",IF(F800&gt;E800,"Increase","Decrease")),"New")</f>
        <v>Increase</v>
      </c>
      <c r="J800" s="58" t="s">
        <v>122</v>
      </c>
      <c r="K800" s="59" t="str">
        <f>IF(LEN(J800)&gt;0,IF(OR(ISLOGICAL(J800),J800="TRUE"),"Yes",""),"")</f>
      </c>
      <c r="L800" s="59"/>
      <c r="M800" s="59"/>
      <c r="N800" s="62" t="str">
        <f>IF(LEN(M800)&gt;0,IF(OR(ISLOGICAL(M800),M800="TRUE"),"Yes",""),"")</f>
      </c>
      <c r="O800" s="59"/>
      <c r="P800" s="62" t="str">
        <f>IF(LEN(O800)&gt;0,IF(OR(ISLOGICAL(O800),O800="TRUE"),"Yes",""),"")</f>
      </c>
      <c r="Q800" s="62" t="s">
        <v>98</v>
      </c>
      <c r="R800" s="63"/>
    </row>
    <row r="801" spans="1:18" s="47" customFormat="1" ht="51">
      <c r="A801" s="63" t="s">
        <v>1676</v>
      </c>
      <c r="B801" s="63" t="s">
        <v>96</v>
      </c>
      <c r="C801" s="63" t="s">
        <v>1677</v>
      </c>
      <c r="D801" s="61"/>
      <c r="E801" s="45">
        <v>0.18</v>
      </c>
      <c r="F801" s="45">
        <v>0.18</v>
      </c>
      <c r="G801" s="66">
        <v>46085</v>
      </c>
      <c r="H801" s="45" t="str">
        <f>IF(ISNUMBER(E801),F801-E801,"N/A")</f>
        <v>N/A</v>
      </c>
      <c r="I801" s="46" t="str">
        <f>IF(E801&lt;&gt;"",IF(F801=E801,"No Change",IF(F801&gt;E801,"Increase","Decrease")),"New")</f>
        <v>Increase</v>
      </c>
      <c r="J801" s="58"/>
      <c r="K801" s="59" t="str">
        <f>IF(LEN(J801)&gt;0,IF(OR(ISLOGICAL(J801),J801="TRUE"),"Yes",""),"")</f>
      </c>
      <c r="L801" s="59"/>
      <c r="M801" s="59"/>
      <c r="N801" s="62" t="str">
        <f>IF(LEN(M801)&gt;0,IF(OR(ISLOGICAL(M801),M801="TRUE"),"Yes",""),"")</f>
      </c>
      <c r="O801" s="59"/>
      <c r="P801" s="62" t="str">
        <f>IF(LEN(O801)&gt;0,IF(OR(ISLOGICAL(O801),O801="TRUE"),"Yes",""),"")</f>
      </c>
      <c r="Q801" s="62" t="s">
        <v>98</v>
      </c>
      <c r="R801" s="63"/>
    </row>
    <row r="802" spans="1:18" s="47" customFormat="1" ht="51">
      <c r="A802" s="63" t="s">
        <v>1678</v>
      </c>
      <c r="B802" s="63" t="s">
        <v>96</v>
      </c>
      <c r="C802" s="63" t="s">
        <v>1679</v>
      </c>
      <c r="D802" s="61"/>
      <c r="E802" s="45">
        <v>0.18</v>
      </c>
      <c r="F802" s="45">
        <v>0.18</v>
      </c>
      <c r="G802" s="66">
        <v>46015</v>
      </c>
      <c r="H802" s="45" t="str">
        <f>IF(ISNUMBER(E802),F802-E802,"N/A")</f>
        <v>N/A</v>
      </c>
      <c r="I802" s="46" t="str">
        <f>IF(E802&lt;&gt;"",IF(F802=E802,"No Change",IF(F802&gt;E802,"Increase","Decrease")),"New")</f>
        <v>Increase</v>
      </c>
      <c r="J802" s="58" t="s">
        <v>122</v>
      </c>
      <c r="K802" s="59" t="str">
        <f>IF(LEN(J802)&gt;0,IF(OR(ISLOGICAL(J802),J802="TRUE"),"Yes",""),"")</f>
      </c>
      <c r="L802" s="59"/>
      <c r="M802" s="59"/>
      <c r="N802" s="62" t="str">
        <f>IF(LEN(M802)&gt;0,IF(OR(ISLOGICAL(M802),M802="TRUE"),"Yes",""),"")</f>
      </c>
      <c r="O802" s="59"/>
      <c r="P802" s="62" t="str">
        <f>IF(LEN(O802)&gt;0,IF(OR(ISLOGICAL(O802),O802="TRUE"),"Yes",""),"")</f>
      </c>
      <c r="Q802" s="62" t="s">
        <v>98</v>
      </c>
      <c r="R802" s="63"/>
    </row>
    <row r="803" spans="1:18" s="47" customFormat="1" ht="51">
      <c r="A803" s="63" t="s">
        <v>1680</v>
      </c>
      <c r="B803" s="63" t="s">
        <v>96</v>
      </c>
      <c r="C803" s="63" t="s">
        <v>1681</v>
      </c>
      <c r="D803" s="61"/>
      <c r="E803" s="45">
        <v>0.18</v>
      </c>
      <c r="F803" s="45">
        <v>0.18</v>
      </c>
      <c r="G803" s="66">
        <v>46085</v>
      </c>
      <c r="H803" s="45" t="str">
        <f>IF(ISNUMBER(E803),F803-E803,"N/A")</f>
        <v>N/A</v>
      </c>
      <c r="I803" s="46" t="str">
        <f>IF(E803&lt;&gt;"",IF(F803=E803,"No Change",IF(F803&gt;E803,"Increase","Decrease")),"New")</f>
        <v>Increase</v>
      </c>
      <c r="J803" s="58" t="s">
        <v>122</v>
      </c>
      <c r="K803" s="59" t="str">
        <f>IF(LEN(J803)&gt;0,IF(OR(ISLOGICAL(J803),J803="TRUE"),"Yes",""),"")</f>
      </c>
      <c r="L803" s="59"/>
      <c r="M803" s="59"/>
      <c r="N803" s="62" t="str">
        <f>IF(LEN(M803)&gt;0,IF(OR(ISLOGICAL(M803),M803="TRUE"),"Yes",""),"")</f>
      </c>
      <c r="O803" s="59"/>
      <c r="P803" s="62" t="str">
        <f>IF(LEN(O803)&gt;0,IF(OR(ISLOGICAL(O803),O803="TRUE"),"Yes",""),"")</f>
      </c>
      <c r="Q803" s="62" t="s">
        <v>98</v>
      </c>
      <c r="R803" s="63"/>
    </row>
    <row r="804" spans="1:18" s="47" customFormat="1" ht="51">
      <c r="A804" s="63" t="s">
        <v>1682</v>
      </c>
      <c r="B804" s="63" t="s">
        <v>96</v>
      </c>
      <c r="C804" s="63" t="s">
        <v>1683</v>
      </c>
      <c r="D804" s="61"/>
      <c r="E804" s="45">
        <v>0.2192</v>
      </c>
      <c r="F804" s="45">
        <v>0.2192</v>
      </c>
      <c r="G804" s="66">
        <v>46143</v>
      </c>
      <c r="H804" s="45" t="str">
        <f>IF(ISNUMBER(E804),F804-E804,"N/A")</f>
        <v>N/A</v>
      </c>
      <c r="I804" s="46" t="str">
        <f>IF(E804&lt;&gt;"",IF(F804=E804,"No Change",IF(F804&gt;E804,"Increase","Decrease")),"New")</f>
        <v>Increase</v>
      </c>
      <c r="J804" s="58"/>
      <c r="K804" s="59" t="str">
        <f>IF(LEN(J804)&gt;0,IF(OR(ISLOGICAL(J804),J804="TRUE"),"Yes",""),"")</f>
      </c>
      <c r="L804" s="59"/>
      <c r="M804" s="59"/>
      <c r="N804" s="62" t="str">
        <f>IF(LEN(M804)&gt;0,IF(OR(ISLOGICAL(M804),M804="TRUE"),"Yes",""),"")</f>
      </c>
      <c r="O804" s="59"/>
      <c r="P804" s="62" t="str">
        <f>IF(LEN(O804)&gt;0,IF(OR(ISLOGICAL(O804),O804="TRUE"),"Yes",""),"")</f>
      </c>
      <c r="Q804" s="62" t="s">
        <v>109</v>
      </c>
      <c r="R804" s="63"/>
    </row>
    <row r="805" spans="1:18" s="47" customFormat="1" ht="51">
      <c r="A805" s="63" t="s">
        <v>1684</v>
      </c>
      <c r="B805" s="63" t="s">
        <v>96</v>
      </c>
      <c r="C805" s="63" t="s">
        <v>1685</v>
      </c>
      <c r="D805" s="61"/>
      <c r="E805" s="45">
        <v>0.2795</v>
      </c>
      <c r="F805" s="45">
        <v>0.2795</v>
      </c>
      <c r="G805" s="66">
        <v>46143</v>
      </c>
      <c r="H805" s="45" t="str">
        <f>IF(ISNUMBER(E805),F805-E805,"N/A")</f>
        <v>N/A</v>
      </c>
      <c r="I805" s="46" t="str">
        <f>IF(E805&lt;&gt;"",IF(F805=E805,"No Change",IF(F805&gt;E805,"Increase","Decrease")),"New")</f>
        <v>Increase</v>
      </c>
      <c r="J805" s="58" t="s">
        <v>122</v>
      </c>
      <c r="K805" s="59" t="str">
        <f>IF(LEN(J805)&gt;0,IF(OR(ISLOGICAL(J805),J805="TRUE"),"Yes",""),"")</f>
      </c>
      <c r="L805" s="59"/>
      <c r="M805" s="59"/>
      <c r="N805" s="62" t="str">
        <f>IF(LEN(M805)&gt;0,IF(OR(ISLOGICAL(M805),M805="TRUE"),"Yes",""),"")</f>
      </c>
      <c r="O805" s="59"/>
      <c r="P805" s="62" t="str">
        <f>IF(LEN(O805)&gt;0,IF(OR(ISLOGICAL(O805),O805="TRUE"),"Yes",""),"")</f>
      </c>
      <c r="Q805" s="62" t="s">
        <v>109</v>
      </c>
      <c r="R805" s="63"/>
    </row>
    <row r="806" spans="1:18" s="47" customFormat="1" ht="51">
      <c r="A806" s="63" t="s">
        <v>1686</v>
      </c>
      <c r="B806" s="63" t="s">
        <v>96</v>
      </c>
      <c r="C806" s="63" t="s">
        <v>1687</v>
      </c>
      <c r="D806" s="61"/>
      <c r="E806" s="45">
        <v>0.015</v>
      </c>
      <c r="F806" s="45">
        <v>0.015</v>
      </c>
      <c r="G806" s="66">
        <v>45748</v>
      </c>
      <c r="H806" s="45" t="str">
        <f>IF(ISNUMBER(E806),F806-E806,"N/A")</f>
        <v>N/A</v>
      </c>
      <c r="I806" s="46" t="str">
        <f>IF(E806&lt;&gt;"",IF(F806=E806,"No Change",IF(F806&gt;E806,"Increase","Decrease")),"New")</f>
        <v>Increase</v>
      </c>
      <c r="J806" s="58"/>
      <c r="K806" s="59" t="str">
        <f>IF(LEN(J806)&gt;0,IF(OR(ISLOGICAL(J806),J806="TRUE"),"Yes",""),"")</f>
      </c>
      <c r="L806" s="59"/>
      <c r="M806" s="59"/>
      <c r="N806" s="62" t="str">
        <f>IF(LEN(M806)&gt;0,IF(OR(ISLOGICAL(M806),M806="TRUE"),"Yes",""),"")</f>
      </c>
      <c r="O806" s="59"/>
      <c r="P806" s="62" t="str">
        <f>IF(LEN(O806)&gt;0,IF(OR(ISLOGICAL(O806),O806="TRUE"),"Yes",""),"")</f>
      </c>
      <c r="Q806" s="62" t="s">
        <v>104</v>
      </c>
      <c r="R806" s="63"/>
    </row>
    <row r="807" spans="1:18" s="47" customFormat="1" ht="51">
      <c r="A807" s="63" t="s">
        <v>1688</v>
      </c>
      <c r="B807" s="63" t="s">
        <v>96</v>
      </c>
      <c r="C807" s="63" t="s">
        <v>1689</v>
      </c>
      <c r="D807" s="61"/>
      <c r="E807" s="45">
        <v>0.034</v>
      </c>
      <c r="F807" s="45">
        <v>0.034</v>
      </c>
      <c r="G807" s="66">
        <v>45042</v>
      </c>
      <c r="H807" s="45" t="str">
        <f>IF(ISNUMBER(E807),F807-E807,"N/A")</f>
        <v>N/A</v>
      </c>
      <c r="I807" s="46" t="str">
        <f>IF(E807&lt;&gt;"",IF(F807=E807,"No Change",IF(F807&gt;E807,"Increase","Decrease")),"New")</f>
        <v>Increase</v>
      </c>
      <c r="J807" s="58" t="s">
        <v>122</v>
      </c>
      <c r="K807" s="59" t="str">
        <f>IF(LEN(J807)&gt;0,IF(OR(ISLOGICAL(J807),J807="TRUE"),"Yes",""),"")</f>
      </c>
      <c r="L807" s="59"/>
      <c r="M807" s="59"/>
      <c r="N807" s="62" t="str">
        <f>IF(LEN(M807)&gt;0,IF(OR(ISLOGICAL(M807),M807="TRUE"),"Yes",""),"")</f>
      </c>
      <c r="O807" s="59"/>
      <c r="P807" s="62" t="str">
        <f>IF(LEN(O807)&gt;0,IF(OR(ISLOGICAL(O807),O807="TRUE"),"Yes",""),"")</f>
      </c>
      <c r="Q807" s="62" t="s">
        <v>98</v>
      </c>
      <c r="R807" s="63"/>
    </row>
    <row r="808" spans="1:18" s="47" customFormat="1" ht="51">
      <c r="A808" s="63" t="s">
        <v>1690</v>
      </c>
      <c r="B808" s="63" t="s">
        <v>96</v>
      </c>
      <c r="C808" s="63" t="s">
        <v>1691</v>
      </c>
      <c r="D808" s="61"/>
      <c r="E808" s="45">
        <v>0.034</v>
      </c>
      <c r="F808" s="45">
        <v>0.034</v>
      </c>
      <c r="G808" s="66">
        <v>45042</v>
      </c>
      <c r="H808" s="45" t="str">
        <f>IF(ISNUMBER(E808),F808-E808,"N/A")</f>
        <v>N/A</v>
      </c>
      <c r="I808" s="46" t="str">
        <f>IF(E808&lt;&gt;"",IF(F808=E808,"No Change",IF(F808&gt;E808,"Increase","Decrease")),"New")</f>
        <v>Increase</v>
      </c>
      <c r="J808" s="58" t="s">
        <v>122</v>
      </c>
      <c r="K808" s="59" t="str">
        <f>IF(LEN(J808)&gt;0,IF(OR(ISLOGICAL(J808),J808="TRUE"),"Yes",""),"")</f>
      </c>
      <c r="L808" s="59"/>
      <c r="M808" s="59"/>
      <c r="N808" s="62" t="str">
        <f>IF(LEN(M808)&gt;0,IF(OR(ISLOGICAL(M808),M808="TRUE"),"Yes",""),"")</f>
      </c>
      <c r="O808" s="59"/>
      <c r="P808" s="62" t="str">
        <f>IF(LEN(O808)&gt;0,IF(OR(ISLOGICAL(O808),O808="TRUE"),"Yes",""),"")</f>
      </c>
      <c r="Q808" s="62" t="s">
        <v>98</v>
      </c>
      <c r="R808" s="63"/>
    </row>
    <row r="809" spans="1:18" s="47" customFormat="1" ht="51">
      <c r="A809" s="63" t="s">
        <v>1692</v>
      </c>
      <c r="B809" s="63" t="s">
        <v>96</v>
      </c>
      <c r="C809" s="63" t="s">
        <v>1693</v>
      </c>
      <c r="D809" s="61"/>
      <c r="E809" s="45">
        <v>0.034</v>
      </c>
      <c r="F809" s="45">
        <v>0.034</v>
      </c>
      <c r="G809" s="66">
        <v>44060</v>
      </c>
      <c r="H809" s="45" t="str">
        <f>IF(ISNUMBER(E809),F809-E809,"N/A")</f>
        <v>N/A</v>
      </c>
      <c r="I809" s="46" t="str">
        <f>IF(E809&lt;&gt;"",IF(F809=E809,"No Change",IF(F809&gt;E809,"Increase","Decrease")),"New")</f>
        <v>Increase</v>
      </c>
      <c r="J809" s="58" t="s">
        <v>122</v>
      </c>
      <c r="K809" s="59" t="str">
        <f>IF(LEN(J809)&gt;0,IF(OR(ISLOGICAL(J809),J809="TRUE"),"Yes",""),"")</f>
      </c>
      <c r="L809" s="59"/>
      <c r="M809" s="59"/>
      <c r="N809" s="62" t="str">
        <f>IF(LEN(M809)&gt;0,IF(OR(ISLOGICAL(M809),M809="TRUE"),"Yes",""),"")</f>
      </c>
      <c r="O809" s="59"/>
      <c r="P809" s="62" t="str">
        <f>IF(LEN(O809)&gt;0,IF(OR(ISLOGICAL(O809),O809="TRUE"),"Yes",""),"")</f>
      </c>
      <c r="Q809" s="62" t="s">
        <v>98</v>
      </c>
      <c r="R809" s="63"/>
    </row>
    <row r="810" spans="1:18" s="47" customFormat="1" ht="51">
      <c r="A810" s="63" t="s">
        <v>1694</v>
      </c>
      <c r="B810" s="63" t="s">
        <v>96</v>
      </c>
      <c r="C810" s="63" t="s">
        <v>1695</v>
      </c>
      <c r="D810" s="61"/>
      <c r="E810" s="45">
        <v>0.034</v>
      </c>
      <c r="F810" s="45">
        <v>0.034</v>
      </c>
      <c r="G810" s="66">
        <v>44060</v>
      </c>
      <c r="H810" s="45" t="str">
        <f>IF(ISNUMBER(E810),F810-E810,"N/A")</f>
        <v>N/A</v>
      </c>
      <c r="I810" s="46" t="str">
        <f>IF(E810&lt;&gt;"",IF(F810=E810,"No Change",IF(F810&gt;E810,"Increase","Decrease")),"New")</f>
        <v>Increase</v>
      </c>
      <c r="J810" s="58" t="s">
        <v>122</v>
      </c>
      <c r="K810" s="59" t="str">
        <f>IF(LEN(J810)&gt;0,IF(OR(ISLOGICAL(J810),J810="TRUE"),"Yes",""),"")</f>
      </c>
      <c r="L810" s="59"/>
      <c r="M810" s="59"/>
      <c r="N810" s="62" t="str">
        <f>IF(LEN(M810)&gt;0,IF(OR(ISLOGICAL(M810),M810="TRUE"),"Yes",""),"")</f>
      </c>
      <c r="O810" s="59"/>
      <c r="P810" s="62" t="str">
        <f>IF(LEN(O810)&gt;0,IF(OR(ISLOGICAL(O810),O810="TRUE"),"Yes",""),"")</f>
      </c>
      <c r="Q810" s="62" t="s">
        <v>98</v>
      </c>
      <c r="R810" s="63"/>
    </row>
    <row r="811" spans="1:18" s="47" customFormat="1" ht="51">
      <c r="A811" s="63" t="s">
        <v>1696</v>
      </c>
      <c r="B811" s="63" t="s">
        <v>96</v>
      </c>
      <c r="C811" s="63" t="s">
        <v>1697</v>
      </c>
      <c r="D811" s="61"/>
      <c r="E811" s="45">
        <v>0.034</v>
      </c>
      <c r="F811" s="45">
        <v>0.034</v>
      </c>
      <c r="G811" s="66">
        <v>45748</v>
      </c>
      <c r="H811" s="45" t="str">
        <f>IF(ISNUMBER(E811),F811-E811,"N/A")</f>
        <v>N/A</v>
      </c>
      <c r="I811" s="46" t="str">
        <f>IF(E811&lt;&gt;"",IF(F811=E811,"No Change",IF(F811&gt;E811,"Increase","Decrease")),"New")</f>
        <v>Increase</v>
      </c>
      <c r="J811" s="58"/>
      <c r="K811" s="59" t="str">
        <f>IF(LEN(J811)&gt;0,IF(OR(ISLOGICAL(J811),J811="TRUE"),"Yes",""),"")</f>
      </c>
      <c r="L811" s="59"/>
      <c r="M811" s="59"/>
      <c r="N811" s="62" t="str">
        <f>IF(LEN(M811)&gt;0,IF(OR(ISLOGICAL(M811),M811="TRUE"),"Yes",""),"")</f>
      </c>
      <c r="O811" s="59"/>
      <c r="P811" s="62" t="str">
        <f>IF(LEN(O811)&gt;0,IF(OR(ISLOGICAL(O811),O811="TRUE"),"Yes",""),"")</f>
      </c>
      <c r="Q811" s="62" t="s">
        <v>104</v>
      </c>
      <c r="R811" s="63"/>
    </row>
    <row r="812" spans="1:18" s="47" customFormat="1" ht="51">
      <c r="A812" s="63" t="s">
        <v>1698</v>
      </c>
      <c r="B812" s="63" t="s">
        <v>96</v>
      </c>
      <c r="C812" s="63" t="s">
        <v>1699</v>
      </c>
      <c r="D812" s="61"/>
      <c r="E812" s="45">
        <v>0.102</v>
      </c>
      <c r="F812" s="45">
        <v>0.102</v>
      </c>
      <c r="G812" s="66">
        <v>46092</v>
      </c>
      <c r="H812" s="45" t="str">
        <f>IF(ISNUMBER(E812),F812-E812,"N/A")</f>
        <v>N/A</v>
      </c>
      <c r="I812" s="46" t="str">
        <f>IF(E812&lt;&gt;"",IF(F812=E812,"No Change",IF(F812&gt;E812,"Increase","Decrease")),"New")</f>
        <v>Increase</v>
      </c>
      <c r="J812" s="58"/>
      <c r="K812" s="59" t="str">
        <f>IF(LEN(J812)&gt;0,IF(OR(ISLOGICAL(J812),J812="TRUE"),"Yes",""),"")</f>
      </c>
      <c r="L812" s="59"/>
      <c r="M812" s="59"/>
      <c r="N812" s="62" t="str">
        <f>IF(LEN(M812)&gt;0,IF(OR(ISLOGICAL(M812),M812="TRUE"),"Yes",""),"")</f>
      </c>
      <c r="O812" s="59"/>
      <c r="P812" s="62" t="str">
        <f>IF(LEN(O812)&gt;0,IF(OR(ISLOGICAL(O812),O812="TRUE"),"Yes",""),"")</f>
      </c>
      <c r="Q812" s="62" t="s">
        <v>104</v>
      </c>
      <c r="R812" s="63"/>
    </row>
    <row r="813" spans="1:18" s="47" customFormat="1" ht="51">
      <c r="A813" s="63" t="s">
        <v>1700</v>
      </c>
      <c r="B813" s="63" t="s">
        <v>96</v>
      </c>
      <c r="C813" s="63" t="s">
        <v>1701</v>
      </c>
      <c r="D813" s="61"/>
      <c r="E813" s="45">
        <v>0.2305</v>
      </c>
      <c r="F813" s="45">
        <v>0.2305</v>
      </c>
      <c r="G813" s="66">
        <v>46082</v>
      </c>
      <c r="H813" s="45" t="str">
        <f>IF(ISNUMBER(E813),F813-E813,"N/A")</f>
        <v>N/A</v>
      </c>
      <c r="I813" s="46" t="str">
        <f>IF(E813&lt;&gt;"",IF(F813=E813,"No Change",IF(F813&gt;E813,"Increase","Decrease")),"New")</f>
        <v>Increase</v>
      </c>
      <c r="J813" s="58"/>
      <c r="K813" s="59" t="str">
        <f>IF(LEN(J813)&gt;0,IF(OR(ISLOGICAL(J813),J813="TRUE"),"Yes",""),"")</f>
      </c>
      <c r="L813" s="59"/>
      <c r="M813" s="59"/>
      <c r="N813" s="62" t="str">
        <f>IF(LEN(M813)&gt;0,IF(OR(ISLOGICAL(M813),M813="TRUE"),"Yes",""),"")</f>
      </c>
      <c r="O813" s="59"/>
      <c r="P813" s="62" t="str">
        <f>IF(LEN(O813)&gt;0,IF(OR(ISLOGICAL(O813),O813="TRUE"),"Yes",""),"")</f>
      </c>
      <c r="Q813" s="62" t="s">
        <v>104</v>
      </c>
      <c r="R813" s="63"/>
    </row>
    <row r="814" spans="1:18" s="47" customFormat="1" ht="51">
      <c r="A814" s="63" t="s">
        <v>1702</v>
      </c>
      <c r="B814" s="63" t="s">
        <v>96</v>
      </c>
      <c r="C814" s="63" t="s">
        <v>1703</v>
      </c>
      <c r="D814" s="61"/>
      <c r="E814" s="45">
        <v>0.2305</v>
      </c>
      <c r="F814" s="45">
        <v>0.2305</v>
      </c>
      <c r="G814" s="66">
        <v>46082</v>
      </c>
      <c r="H814" s="45" t="str">
        <f>IF(ISNUMBER(E814),F814-E814,"N/A")</f>
        <v>N/A</v>
      </c>
      <c r="I814" s="46" t="str">
        <f>IF(E814&lt;&gt;"",IF(F814=E814,"No Change",IF(F814&gt;E814,"Increase","Decrease")),"New")</f>
        <v>Increase</v>
      </c>
      <c r="J814" s="58"/>
      <c r="K814" s="59" t="str">
        <f>IF(LEN(J814)&gt;0,IF(OR(ISLOGICAL(J814),J814="TRUE"),"Yes",""),"")</f>
      </c>
      <c r="L814" s="59"/>
      <c r="M814" s="59"/>
      <c r="N814" s="62" t="str">
        <f>IF(LEN(M814)&gt;0,IF(OR(ISLOGICAL(M814),M814="TRUE"),"Yes",""),"")</f>
      </c>
      <c r="O814" s="59"/>
      <c r="P814" s="62" t="str">
        <f>IF(LEN(O814)&gt;0,IF(OR(ISLOGICAL(O814),O814="TRUE"),"Yes",""),"")</f>
      </c>
      <c r="Q814" s="62" t="s">
        <v>104</v>
      </c>
      <c r="R814" s="63"/>
    </row>
    <row r="815" spans="1:18" s="47" customFormat="1" ht="51">
      <c r="A815" s="63" t="s">
        <v>1704</v>
      </c>
      <c r="B815" s="63" t="s">
        <v>96</v>
      </c>
      <c r="C815" s="63" t="s">
        <v>1705</v>
      </c>
      <c r="D815" s="61"/>
      <c r="E815" s="45">
        <v>0.2305</v>
      </c>
      <c r="F815" s="45">
        <v>0.2305</v>
      </c>
      <c r="G815" s="66">
        <v>46082</v>
      </c>
      <c r="H815" s="45" t="str">
        <f>IF(ISNUMBER(E815),F815-E815,"N/A")</f>
        <v>N/A</v>
      </c>
      <c r="I815" s="46" t="str">
        <f>IF(E815&lt;&gt;"",IF(F815=E815,"No Change",IF(F815&gt;E815,"Increase","Decrease")),"New")</f>
        <v>Increase</v>
      </c>
      <c r="J815" s="58"/>
      <c r="K815" s="59" t="str">
        <f>IF(LEN(J815)&gt;0,IF(OR(ISLOGICAL(J815),J815="TRUE"),"Yes",""),"")</f>
      </c>
      <c r="L815" s="59"/>
      <c r="M815" s="59"/>
      <c r="N815" s="62" t="str">
        <f>IF(LEN(M815)&gt;0,IF(OR(ISLOGICAL(M815),M815="TRUE"),"Yes",""),"")</f>
      </c>
      <c r="O815" s="59"/>
      <c r="P815" s="62" t="str">
        <f>IF(LEN(O815)&gt;0,IF(OR(ISLOGICAL(O815),O815="TRUE"),"Yes",""),"")</f>
      </c>
      <c r="Q815" s="62" t="s">
        <v>104</v>
      </c>
      <c r="R815" s="63"/>
    </row>
    <row r="816" spans="1:18" s="47" customFormat="1" ht="51">
      <c r="A816" s="63" t="s">
        <v>1706</v>
      </c>
      <c r="B816" s="63" t="s">
        <v>96</v>
      </c>
      <c r="C816" s="63" t="s">
        <v>1707</v>
      </c>
      <c r="D816" s="61"/>
      <c r="E816" s="45">
        <v>0.2305</v>
      </c>
      <c r="F816" s="45">
        <v>0.2305</v>
      </c>
      <c r="G816" s="66">
        <v>46082</v>
      </c>
      <c r="H816" s="45" t="str">
        <f>IF(ISNUMBER(E816),F816-E816,"N/A")</f>
        <v>N/A</v>
      </c>
      <c r="I816" s="46" t="str">
        <f>IF(E816&lt;&gt;"",IF(F816=E816,"No Change",IF(F816&gt;E816,"Increase","Decrease")),"New")</f>
        <v>Increase</v>
      </c>
      <c r="J816" s="58"/>
      <c r="K816" s="59" t="str">
        <f>IF(LEN(J816)&gt;0,IF(OR(ISLOGICAL(J816),J816="TRUE"),"Yes",""),"")</f>
      </c>
      <c r="L816" s="59"/>
      <c r="M816" s="59"/>
      <c r="N816" s="62" t="str">
        <f>IF(LEN(M816)&gt;0,IF(OR(ISLOGICAL(M816),M816="TRUE"),"Yes",""),"")</f>
      </c>
      <c r="O816" s="59"/>
      <c r="P816" s="62" t="str">
        <f>IF(LEN(O816)&gt;0,IF(OR(ISLOGICAL(O816),O816="TRUE"),"Yes",""),"")</f>
      </c>
      <c r="Q816" s="62" t="s">
        <v>104</v>
      </c>
      <c r="R816" s="63"/>
    </row>
    <row r="817" spans="1:18" s="47" customFormat="1" ht="51">
      <c r="A817" s="63" t="s">
        <v>1708</v>
      </c>
      <c r="B817" s="63" t="s">
        <v>96</v>
      </c>
      <c r="C817" s="63" t="s">
        <v>1709</v>
      </c>
      <c r="D817" s="61"/>
      <c r="E817" s="45">
        <v>0.3225</v>
      </c>
      <c r="F817" s="45">
        <v>0.3225</v>
      </c>
      <c r="G817" s="66">
        <v>46092</v>
      </c>
      <c r="H817" s="45" t="str">
        <f>IF(ISNUMBER(E817),F817-E817,"N/A")</f>
        <v>N/A</v>
      </c>
      <c r="I817" s="46" t="str">
        <f>IF(E817&lt;&gt;"",IF(F817=E817,"No Change",IF(F817&gt;E817,"Increase","Decrease")),"New")</f>
        <v>Increase</v>
      </c>
      <c r="J817" s="58"/>
      <c r="K817" s="59" t="str">
        <f>IF(LEN(J817)&gt;0,IF(OR(ISLOGICAL(J817),J817="TRUE"),"Yes",""),"")</f>
      </c>
      <c r="L817" s="59"/>
      <c r="M817" s="59"/>
      <c r="N817" s="62" t="str">
        <f>IF(LEN(M817)&gt;0,IF(OR(ISLOGICAL(M817),M817="TRUE"),"Yes",""),"")</f>
      </c>
      <c r="O817" s="59"/>
      <c r="P817" s="62" t="str">
        <f>IF(LEN(O817)&gt;0,IF(OR(ISLOGICAL(O817),O817="TRUE"),"Yes",""),"")</f>
      </c>
      <c r="Q817" s="62" t="s">
        <v>98</v>
      </c>
      <c r="R817" s="63"/>
    </row>
    <row r="818" spans="1:18" s="47" customFormat="1" ht="51">
      <c r="A818" s="63" t="s">
        <v>1710</v>
      </c>
      <c r="B818" s="63" t="s">
        <v>96</v>
      </c>
      <c r="C818" s="63" t="s">
        <v>1711</v>
      </c>
      <c r="D818" s="61"/>
      <c r="E818" s="45">
        <v>0.11</v>
      </c>
      <c r="F818" s="45">
        <v>0.11</v>
      </c>
      <c r="G818" s="66">
        <v>46078</v>
      </c>
      <c r="H818" s="45" t="str">
        <f>IF(ISNUMBER(E818),F818-E818,"N/A")</f>
        <v>N/A</v>
      </c>
      <c r="I818" s="46" t="str">
        <f>IF(E818&lt;&gt;"",IF(F818=E818,"No Change",IF(F818&gt;E818,"Increase","Decrease")),"New")</f>
        <v>Increase</v>
      </c>
      <c r="J818" s="58"/>
      <c r="K818" s="59" t="str">
        <f>IF(LEN(J818)&gt;0,IF(OR(ISLOGICAL(J818),J818="TRUE"),"Yes",""),"")</f>
      </c>
      <c r="L818" s="59"/>
      <c r="M818" s="59"/>
      <c r="N818" s="62" t="str">
        <f>IF(LEN(M818)&gt;0,IF(OR(ISLOGICAL(M818),M818="TRUE"),"Yes",""),"")</f>
      </c>
      <c r="O818" s="59"/>
      <c r="P818" s="62" t="str">
        <f>IF(LEN(O818)&gt;0,IF(OR(ISLOGICAL(O818),O818="TRUE"),"Yes",""),"")</f>
      </c>
      <c r="Q818" s="62" t="s">
        <v>109</v>
      </c>
      <c r="R818" s="63"/>
    </row>
    <row r="819" spans="1:18" s="47" customFormat="1" ht="51">
      <c r="A819" s="63" t="s">
        <v>1712</v>
      </c>
      <c r="B819" s="63" t="s">
        <v>96</v>
      </c>
      <c r="C819" s="63" t="s">
        <v>1713</v>
      </c>
      <c r="D819" s="61"/>
      <c r="E819" s="45">
        <v>0.12</v>
      </c>
      <c r="F819" s="45">
        <v>0.12</v>
      </c>
      <c r="G819" s="66">
        <v>46082</v>
      </c>
      <c r="H819" s="45" t="str">
        <f>IF(ISNUMBER(E819),F819-E819,"N/A")</f>
        <v>N/A</v>
      </c>
      <c r="I819" s="46" t="str">
        <f>IF(E819&lt;&gt;"",IF(F819=E819,"No Change",IF(F819&gt;E819,"Increase","Decrease")),"New")</f>
        <v>Increase</v>
      </c>
      <c r="J819" s="58"/>
      <c r="K819" s="59" t="str">
        <f>IF(LEN(J819)&gt;0,IF(OR(ISLOGICAL(J819),J819="TRUE"),"Yes",""),"")</f>
      </c>
      <c r="L819" s="59"/>
      <c r="M819" s="59"/>
      <c r="N819" s="62" t="str">
        <f>IF(LEN(M819)&gt;0,IF(OR(ISLOGICAL(M819),M819="TRUE"),"Yes",""),"")</f>
      </c>
      <c r="O819" s="59"/>
      <c r="P819" s="62" t="str">
        <f>IF(LEN(O819)&gt;0,IF(OR(ISLOGICAL(O819),O819="TRUE"),"Yes",""),"")</f>
      </c>
      <c r="Q819" s="62" t="s">
        <v>98</v>
      </c>
      <c r="R819" s="63"/>
    </row>
    <row r="820" spans="1:18" s="47" customFormat="1" ht="51">
      <c r="A820" s="63" t="s">
        <v>1714</v>
      </c>
      <c r="B820" s="63" t="s">
        <v>96</v>
      </c>
      <c r="C820" s="63" t="s">
        <v>1715</v>
      </c>
      <c r="D820" s="61"/>
      <c r="E820" s="45">
        <v>0.083</v>
      </c>
      <c r="F820" s="45">
        <v>0.083</v>
      </c>
      <c r="G820" s="66">
        <v>46113</v>
      </c>
      <c r="H820" s="45" t="str">
        <f>IF(ISNUMBER(E820),F820-E820,"N/A")</f>
        <v>N/A</v>
      </c>
      <c r="I820" s="46" t="str">
        <f>IF(E820&lt;&gt;"",IF(F820=E820,"No Change",IF(F820&gt;E820,"Increase","Decrease")),"New")</f>
        <v>Increase</v>
      </c>
      <c r="J820" s="58" t="s">
        <v>122</v>
      </c>
      <c r="K820" s="59" t="str">
        <f>IF(LEN(J820)&gt;0,IF(OR(ISLOGICAL(J820),J820="TRUE"),"Yes",""),"")</f>
      </c>
      <c r="L820" s="59"/>
      <c r="M820" s="59"/>
      <c r="N820" s="62" t="str">
        <f>IF(LEN(M820)&gt;0,IF(OR(ISLOGICAL(M820),M820="TRUE"),"Yes",""),"")</f>
      </c>
      <c r="O820" s="59"/>
      <c r="P820" s="62" t="str">
        <f>IF(LEN(O820)&gt;0,IF(OR(ISLOGICAL(O820),O820="TRUE"),"Yes",""),"")</f>
      </c>
      <c r="Q820" s="62" t="s">
        <v>98</v>
      </c>
      <c r="R820" s="63"/>
    </row>
    <row r="821" spans="1:18" s="47" customFormat="1" ht="51">
      <c r="A821" s="63" t="s">
        <v>1716</v>
      </c>
      <c r="B821" s="63" t="s">
        <v>96</v>
      </c>
      <c r="C821" s="63" t="s">
        <v>1717</v>
      </c>
      <c r="D821" s="61"/>
      <c r="E821" s="45">
        <v>0.101</v>
      </c>
      <c r="F821" s="45">
        <v>0.101</v>
      </c>
      <c r="G821" s="66">
        <v>45847</v>
      </c>
      <c r="H821" s="45" t="str">
        <f>IF(ISNUMBER(E821),F821-E821,"N/A")</f>
        <v>N/A</v>
      </c>
      <c r="I821" s="46" t="str">
        <f>IF(E821&lt;&gt;"",IF(F821=E821,"No Change",IF(F821&gt;E821,"Increase","Decrease")),"New")</f>
        <v>Increase</v>
      </c>
      <c r="J821" s="58" t="s">
        <v>122</v>
      </c>
      <c r="K821" s="59" t="str">
        <f>IF(LEN(J821)&gt;0,IF(OR(ISLOGICAL(J821),J821="TRUE"),"Yes",""),"")</f>
      </c>
      <c r="L821" s="59"/>
      <c r="M821" s="59"/>
      <c r="N821" s="62" t="str">
        <f>IF(LEN(M821)&gt;0,IF(OR(ISLOGICAL(M821),M821="TRUE"),"Yes",""),"")</f>
      </c>
      <c r="O821" s="59"/>
      <c r="P821" s="62" t="str">
        <f>IF(LEN(O821)&gt;0,IF(OR(ISLOGICAL(O821),O821="TRUE"),"Yes",""),"")</f>
      </c>
      <c r="Q821" s="62" t="s">
        <v>98</v>
      </c>
      <c r="R821" s="63"/>
    </row>
    <row r="822" spans="1:18" s="47" customFormat="1" ht="51">
      <c r="A822" s="63" t="s">
        <v>1718</v>
      </c>
      <c r="B822" s="63" t="s">
        <v>96</v>
      </c>
      <c r="C822" s="63" t="s">
        <v>1719</v>
      </c>
      <c r="D822" s="61"/>
      <c r="E822" s="45">
        <v>0.0695</v>
      </c>
      <c r="F822" s="45">
        <v>0.0695</v>
      </c>
      <c r="G822" s="66">
        <v>46064</v>
      </c>
      <c r="H822" s="45" t="str">
        <f>IF(ISNUMBER(E822),F822-E822,"N/A")</f>
        <v>N/A</v>
      </c>
      <c r="I822" s="46" t="str">
        <f>IF(E822&lt;&gt;"",IF(F822=E822,"No Change",IF(F822&gt;E822,"Increase","Decrease")),"New")</f>
        <v>Increase</v>
      </c>
      <c r="J822" s="58" t="s">
        <v>122</v>
      </c>
      <c r="K822" s="59" t="str">
        <f>IF(LEN(J822)&gt;0,IF(OR(ISLOGICAL(J822),J822="TRUE"),"Yes",""),"")</f>
      </c>
      <c r="L822" s="59"/>
      <c r="M822" s="59"/>
      <c r="N822" s="62" t="str">
        <f>IF(LEN(M822)&gt;0,IF(OR(ISLOGICAL(M822),M822="TRUE"),"Yes",""),"")</f>
      </c>
      <c r="O822" s="59"/>
      <c r="P822" s="62" t="str">
        <f>IF(LEN(O822)&gt;0,IF(OR(ISLOGICAL(O822),O822="TRUE"),"Yes",""),"")</f>
      </c>
      <c r="Q822" s="62" t="s">
        <v>98</v>
      </c>
      <c r="R822" s="63"/>
    </row>
    <row r="823" spans="1:18" s="47" customFormat="1" ht="51">
      <c r="A823" s="63" t="s">
        <v>1720</v>
      </c>
      <c r="B823" s="63" t="s">
        <v>96</v>
      </c>
      <c r="C823" s="63" t="s">
        <v>1721</v>
      </c>
      <c r="D823" s="61"/>
      <c r="E823" s="45">
        <v>0.081</v>
      </c>
      <c r="F823" s="45">
        <v>0.081</v>
      </c>
      <c r="G823" s="66">
        <v>45985</v>
      </c>
      <c r="H823" s="45" t="str">
        <f>IF(ISNUMBER(E823),F823-E823,"N/A")</f>
        <v>N/A</v>
      </c>
      <c r="I823" s="46" t="str">
        <f>IF(E823&lt;&gt;"",IF(F823=E823,"No Change",IF(F823&gt;E823,"Increase","Decrease")),"New")</f>
        <v>Increase</v>
      </c>
      <c r="J823" s="58" t="s">
        <v>122</v>
      </c>
      <c r="K823" s="59" t="str">
        <f>IF(LEN(J823)&gt;0,IF(OR(ISLOGICAL(J823),J823="TRUE"),"Yes",""),"")</f>
      </c>
      <c r="L823" s="59"/>
      <c r="M823" s="59"/>
      <c r="N823" s="62" t="str">
        <f>IF(LEN(M823)&gt;0,IF(OR(ISLOGICAL(M823),M823="TRUE"),"Yes",""),"")</f>
      </c>
      <c r="O823" s="59"/>
      <c r="P823" s="62" t="str">
        <f>IF(LEN(O823)&gt;0,IF(OR(ISLOGICAL(O823),O823="TRUE"),"Yes",""),"")</f>
      </c>
      <c r="Q823" s="62" t="s">
        <v>109</v>
      </c>
      <c r="R823" s="63"/>
    </row>
    <row r="824" spans="1:18" s="47" customFormat="1" ht="51">
      <c r="A824" s="63" t="s">
        <v>1722</v>
      </c>
      <c r="B824" s="63" t="s">
        <v>96</v>
      </c>
      <c r="C824" s="63" t="s">
        <v>1723</v>
      </c>
      <c r="D824" s="61"/>
      <c r="E824" s="45">
        <v>0.101</v>
      </c>
      <c r="F824" s="45">
        <v>0.101</v>
      </c>
      <c r="G824" s="66">
        <v>46099</v>
      </c>
      <c r="H824" s="45" t="str">
        <f>IF(ISNUMBER(E824),F824-E824,"N/A")</f>
        <v>N/A</v>
      </c>
      <c r="I824" s="46" t="str">
        <f>IF(E824&lt;&gt;"",IF(F824=E824,"No Change",IF(F824&gt;E824,"Increase","Decrease")),"New")</f>
        <v>Increase</v>
      </c>
      <c r="J824" s="58"/>
      <c r="K824" s="59" t="str">
        <f>IF(LEN(J824)&gt;0,IF(OR(ISLOGICAL(J824),J824="TRUE"),"Yes",""),"")</f>
      </c>
      <c r="L824" s="59"/>
      <c r="M824" s="59"/>
      <c r="N824" s="62" t="str">
        <f>IF(LEN(M824)&gt;0,IF(OR(ISLOGICAL(M824),M824="TRUE"),"Yes",""),"")</f>
      </c>
      <c r="O824" s="59"/>
      <c r="P824" s="62" t="str">
        <f>IF(LEN(O824)&gt;0,IF(OR(ISLOGICAL(O824),O824="TRUE"),"Yes",""),"")</f>
      </c>
      <c r="Q824" s="62" t="s">
        <v>98</v>
      </c>
      <c r="R824" s="63"/>
    </row>
    <row r="825" spans="1:18" s="47" customFormat="1" ht="51">
      <c r="A825" s="63" t="s">
        <v>1724</v>
      </c>
      <c r="B825" s="63" t="s">
        <v>96</v>
      </c>
      <c r="C825" s="63" t="s">
        <v>1725</v>
      </c>
      <c r="D825" s="61"/>
      <c r="E825" s="45">
        <v>0.12</v>
      </c>
      <c r="F825" s="45">
        <v>0.12</v>
      </c>
      <c r="G825" s="66">
        <v>46085</v>
      </c>
      <c r="H825" s="45" t="str">
        <f>IF(ISNUMBER(E825),F825-E825,"N/A")</f>
        <v>N/A</v>
      </c>
      <c r="I825" s="46" t="str">
        <f>IF(E825&lt;&gt;"",IF(F825=E825,"No Change",IF(F825&gt;E825,"Increase","Decrease")),"New")</f>
        <v>Increase</v>
      </c>
      <c r="J825" s="58" t="s">
        <v>122</v>
      </c>
      <c r="K825" s="59" t="str">
        <f>IF(LEN(J825)&gt;0,IF(OR(ISLOGICAL(J825),J825="TRUE"),"Yes",""),"")</f>
      </c>
      <c r="L825" s="59"/>
      <c r="M825" s="59"/>
      <c r="N825" s="62" t="str">
        <f>IF(LEN(M825)&gt;0,IF(OR(ISLOGICAL(M825),M825="TRUE"),"Yes",""),"")</f>
      </c>
      <c r="O825" s="59"/>
      <c r="P825" s="62" t="str">
        <f>IF(LEN(O825)&gt;0,IF(OR(ISLOGICAL(O825),O825="TRUE"),"Yes",""),"")</f>
      </c>
      <c r="Q825" s="62" t="s">
        <v>98</v>
      </c>
      <c r="R825" s="63"/>
    </row>
    <row r="826" spans="1:18" s="47" customFormat="1" ht="51">
      <c r="A826" s="63" t="s">
        <v>1726</v>
      </c>
      <c r="B826" s="63" t="s">
        <v>96</v>
      </c>
      <c r="C826" s="63" t="s">
        <v>1727</v>
      </c>
      <c r="D826" s="61"/>
      <c r="E826" s="45">
        <v>0.3225</v>
      </c>
      <c r="F826" s="45">
        <v>0.3225</v>
      </c>
      <c r="G826" s="66">
        <v>45966</v>
      </c>
      <c r="H826" s="45" t="str">
        <f>IF(ISNUMBER(E826),F826-E826,"N/A")</f>
        <v>N/A</v>
      </c>
      <c r="I826" s="46" t="str">
        <f>IF(E826&lt;&gt;"",IF(F826=E826,"No Change",IF(F826&gt;E826,"Increase","Decrease")),"New")</f>
        <v>Increase</v>
      </c>
      <c r="J826" s="58" t="s">
        <v>122</v>
      </c>
      <c r="K826" s="59" t="str">
        <f>IF(LEN(J826)&gt;0,IF(OR(ISLOGICAL(J826),J826="TRUE"),"Yes",""),"")</f>
      </c>
      <c r="L826" s="59"/>
      <c r="M826" s="59"/>
      <c r="N826" s="62" t="str">
        <f>IF(LEN(M826)&gt;0,IF(OR(ISLOGICAL(M826),M826="TRUE"),"Yes",""),"")</f>
      </c>
      <c r="O826" s="59"/>
      <c r="P826" s="62" t="str">
        <f>IF(LEN(O826)&gt;0,IF(OR(ISLOGICAL(O826),O826="TRUE"),"Yes",""),"")</f>
      </c>
      <c r="Q826" s="62" t="s">
        <v>98</v>
      </c>
      <c r="R826" s="63"/>
    </row>
    <row r="827" spans="1:18" s="47" customFormat="1" ht="51">
      <c r="A827" s="63" t="s">
        <v>1728</v>
      </c>
      <c r="B827" s="63" t="s">
        <v>96</v>
      </c>
      <c r="C827" s="63" t="s">
        <v>1729</v>
      </c>
      <c r="D827" s="61"/>
      <c r="E827" s="45">
        <v>0.3225</v>
      </c>
      <c r="F827" s="45">
        <v>0.3225</v>
      </c>
      <c r="G827" s="66">
        <v>45966</v>
      </c>
      <c r="H827" s="45" t="str">
        <f>IF(ISNUMBER(E827),F827-E827,"N/A")</f>
        <v>N/A</v>
      </c>
      <c r="I827" s="46" t="str">
        <f>IF(E827&lt;&gt;"",IF(F827=E827,"No Change",IF(F827&gt;E827,"Increase","Decrease")),"New")</f>
        <v>Increase</v>
      </c>
      <c r="J827" s="58" t="s">
        <v>122</v>
      </c>
      <c r="K827" s="59" t="str">
        <f>IF(LEN(J827)&gt;0,IF(OR(ISLOGICAL(J827),J827="TRUE"),"Yes",""),"")</f>
      </c>
      <c r="L827" s="59"/>
      <c r="M827" s="59"/>
      <c r="N827" s="62" t="str">
        <f>IF(LEN(M827)&gt;0,IF(OR(ISLOGICAL(M827),M827="TRUE"),"Yes",""),"")</f>
      </c>
      <c r="O827" s="59"/>
      <c r="P827" s="62" t="str">
        <f>IF(LEN(O827)&gt;0,IF(OR(ISLOGICAL(O827),O827="TRUE"),"Yes",""),"")</f>
      </c>
      <c r="Q827" s="62" t="s">
        <v>98</v>
      </c>
      <c r="R827" s="63"/>
    </row>
    <row r="828" spans="1:18" s="47" customFormat="1" ht="51">
      <c r="A828" s="63" t="s">
        <v>1730</v>
      </c>
      <c r="B828" s="63" t="s">
        <v>96</v>
      </c>
      <c r="C828" s="63" t="s">
        <v>1731</v>
      </c>
      <c r="D828" s="61"/>
      <c r="E828" s="45">
        <v>0.3225</v>
      </c>
      <c r="F828" s="45">
        <v>0.3225</v>
      </c>
      <c r="G828" s="66">
        <v>45966</v>
      </c>
      <c r="H828" s="45" t="str">
        <f>IF(ISNUMBER(E828),F828-E828,"N/A")</f>
        <v>N/A</v>
      </c>
      <c r="I828" s="46" t="str">
        <f>IF(E828&lt;&gt;"",IF(F828=E828,"No Change",IF(F828&gt;E828,"Increase","Decrease")),"New")</f>
        <v>Increase</v>
      </c>
      <c r="J828" s="58" t="s">
        <v>122</v>
      </c>
      <c r="K828" s="59" t="str">
        <f>IF(LEN(J828)&gt;0,IF(OR(ISLOGICAL(J828),J828="TRUE"),"Yes",""),"")</f>
      </c>
      <c r="L828" s="59"/>
      <c r="M828" s="59"/>
      <c r="N828" s="62" t="str">
        <f>IF(LEN(M828)&gt;0,IF(OR(ISLOGICAL(M828),M828="TRUE"),"Yes",""),"")</f>
      </c>
      <c r="O828" s="59"/>
      <c r="P828" s="62" t="str">
        <f>IF(LEN(O828)&gt;0,IF(OR(ISLOGICAL(O828),O828="TRUE"),"Yes",""),"")</f>
      </c>
      <c r="Q828" s="62" t="s">
        <v>98</v>
      </c>
      <c r="R828" s="63"/>
    </row>
    <row r="829" spans="1:18" s="47" customFormat="1" ht="51">
      <c r="A829" s="63" t="s">
        <v>1732</v>
      </c>
      <c r="B829" s="63" t="s">
        <v>96</v>
      </c>
      <c r="C829" s="63" t="s">
        <v>1733</v>
      </c>
      <c r="D829" s="61"/>
      <c r="E829" s="45">
        <v>0.3225</v>
      </c>
      <c r="F829" s="45">
        <v>0.3225</v>
      </c>
      <c r="G829" s="66">
        <v>46092</v>
      </c>
      <c r="H829" s="45" t="str">
        <f>IF(ISNUMBER(E829),F829-E829,"N/A")</f>
        <v>N/A</v>
      </c>
      <c r="I829" s="46" t="str">
        <f>IF(E829&lt;&gt;"",IF(F829=E829,"No Change",IF(F829&gt;E829,"Increase","Decrease")),"New")</f>
        <v>Increase</v>
      </c>
      <c r="J829" s="58"/>
      <c r="K829" s="59" t="str">
        <f>IF(LEN(J829)&gt;0,IF(OR(ISLOGICAL(J829),J829="TRUE"),"Yes",""),"")</f>
      </c>
      <c r="L829" s="59"/>
      <c r="M829" s="59"/>
      <c r="N829" s="62" t="str">
        <f>IF(LEN(M829)&gt;0,IF(OR(ISLOGICAL(M829),M829="TRUE"),"Yes",""),"")</f>
      </c>
      <c r="O829" s="59"/>
      <c r="P829" s="62" t="str">
        <f>IF(LEN(O829)&gt;0,IF(OR(ISLOGICAL(O829),O829="TRUE"),"Yes",""),"")</f>
      </c>
      <c r="Q829" s="62" t="s">
        <v>98</v>
      </c>
      <c r="R829" s="63"/>
    </row>
    <row r="830" spans="1:18" s="47" customFormat="1" ht="51">
      <c r="A830" s="63" t="s">
        <v>1734</v>
      </c>
      <c r="B830" s="63" t="s">
        <v>96</v>
      </c>
      <c r="C830" s="63" t="s">
        <v>1735</v>
      </c>
      <c r="D830" s="61"/>
      <c r="E830" s="45">
        <v>1.35</v>
      </c>
      <c r="F830" s="45">
        <v>1.35</v>
      </c>
      <c r="G830" s="66">
        <v>46074</v>
      </c>
      <c r="H830" s="45" t="str">
        <f>IF(ISNUMBER(E830),F830-E830,"N/A")</f>
        <v>N/A</v>
      </c>
      <c r="I830" s="46" t="str">
        <f>IF(E830&lt;&gt;"",IF(F830=E830,"No Change",IF(F830&gt;E830,"Increase","Decrease")),"New")</f>
        <v>Increase</v>
      </c>
      <c r="J830" s="58"/>
      <c r="K830" s="59" t="str">
        <f>IF(LEN(J830)&gt;0,IF(OR(ISLOGICAL(J830),J830="TRUE"),"Yes",""),"")</f>
      </c>
      <c r="L830" s="59"/>
      <c r="M830" s="59"/>
      <c r="N830" s="62" t="str">
        <f>IF(LEN(M830)&gt;0,IF(OR(ISLOGICAL(M830),M830="TRUE"),"Yes",""),"")</f>
      </c>
      <c r="O830" s="59"/>
      <c r="P830" s="62" t="str">
        <f>IF(LEN(O830)&gt;0,IF(OR(ISLOGICAL(O830),O830="TRUE"),"Yes",""),"")</f>
      </c>
      <c r="Q830" s="62" t="s">
        <v>109</v>
      </c>
      <c r="R830" s="63"/>
    </row>
    <row r="831" spans="1:18" s="47" customFormat="1" ht="51">
      <c r="A831" s="63" t="s">
        <v>1736</v>
      </c>
      <c r="B831" s="63" t="s">
        <v>96</v>
      </c>
      <c r="C831" s="63" t="s">
        <v>1737</v>
      </c>
      <c r="D831" s="61"/>
      <c r="E831" s="45">
        <v>1.35</v>
      </c>
      <c r="F831" s="45">
        <v>1.35</v>
      </c>
      <c r="G831" s="66">
        <v>46082</v>
      </c>
      <c r="H831" s="45" t="str">
        <f>IF(ISNUMBER(E831),F831-E831,"N/A")</f>
        <v>N/A</v>
      </c>
      <c r="I831" s="46" t="str">
        <f>IF(E831&lt;&gt;"",IF(F831=E831,"No Change",IF(F831&gt;E831,"Increase","Decrease")),"New")</f>
        <v>Increase</v>
      </c>
      <c r="J831" s="58"/>
      <c r="K831" s="59" t="str">
        <f>IF(LEN(J831)&gt;0,IF(OR(ISLOGICAL(J831),J831="TRUE"),"Yes",""),"")</f>
      </c>
      <c r="L831" s="59"/>
      <c r="M831" s="59"/>
      <c r="N831" s="62" t="str">
        <f>IF(LEN(M831)&gt;0,IF(OR(ISLOGICAL(M831),M831="TRUE"),"Yes",""),"")</f>
      </c>
      <c r="O831" s="59"/>
      <c r="P831" s="62" t="str">
        <f>IF(LEN(O831)&gt;0,IF(OR(ISLOGICAL(O831),O831="TRUE"),"Yes",""),"")</f>
      </c>
      <c r="Q831" s="62" t="s">
        <v>109</v>
      </c>
      <c r="R831" s="63"/>
    </row>
    <row r="832" spans="1:18" s="47" customFormat="1" ht="51">
      <c r="A832" s="63" t="s">
        <v>1738</v>
      </c>
      <c r="B832" s="63" t="s">
        <v>96</v>
      </c>
      <c r="C832" s="63" t="s">
        <v>1739</v>
      </c>
      <c r="D832" s="61"/>
      <c r="E832" s="45">
        <v>1.2</v>
      </c>
      <c r="F832" s="45">
        <v>1.2</v>
      </c>
      <c r="G832" s="66">
        <v>44587</v>
      </c>
      <c r="H832" s="45" t="str">
        <f>IF(ISNUMBER(E832),F832-E832,"N/A")</f>
        <v>N/A</v>
      </c>
      <c r="I832" s="46" t="str">
        <f>IF(E832&lt;&gt;"",IF(F832=E832,"No Change",IF(F832&gt;E832,"Increase","Decrease")),"New")</f>
        <v>Increase</v>
      </c>
      <c r="J832" s="58"/>
      <c r="K832" s="59" t="str">
        <f>IF(LEN(J832)&gt;0,IF(OR(ISLOGICAL(J832),J832="TRUE"),"Yes",""),"")</f>
      </c>
      <c r="L832" s="59"/>
      <c r="M832" s="59"/>
      <c r="N832" s="62" t="str">
        <f>IF(LEN(M832)&gt;0,IF(OR(ISLOGICAL(M832),M832="TRUE"),"Yes",""),"")</f>
      </c>
      <c r="O832" s="59"/>
      <c r="P832" s="62" t="str">
        <f>IF(LEN(O832)&gt;0,IF(OR(ISLOGICAL(O832),O832="TRUE"),"Yes",""),"")</f>
      </c>
      <c r="Q832" s="62" t="s">
        <v>98</v>
      </c>
      <c r="R832" s="63"/>
    </row>
    <row r="833" spans="1:18" s="47" customFormat="1" ht="51">
      <c r="A833" s="63" t="s">
        <v>1740</v>
      </c>
      <c r="B833" s="63" t="s">
        <v>96</v>
      </c>
      <c r="C833" s="63" t="s">
        <v>1741</v>
      </c>
      <c r="D833" s="61"/>
      <c r="E833" s="45">
        <v>0.576</v>
      </c>
      <c r="F833" s="45">
        <v>0.576</v>
      </c>
      <c r="G833" s="66">
        <v>45938</v>
      </c>
      <c r="H833" s="45" t="str">
        <f>IF(ISNUMBER(E833),F833-E833,"N/A")</f>
        <v>N/A</v>
      </c>
      <c r="I833" s="46" t="str">
        <f>IF(E833&lt;&gt;"",IF(F833=E833,"No Change",IF(F833&gt;E833,"Increase","Decrease")),"New")</f>
        <v>Increase</v>
      </c>
      <c r="J833" s="58"/>
      <c r="K833" s="59" t="str">
        <f>IF(LEN(J833)&gt;0,IF(OR(ISLOGICAL(J833),J833="TRUE"),"Yes",""),"")</f>
      </c>
      <c r="L833" s="59"/>
      <c r="M833" s="59"/>
      <c r="N833" s="62" t="str">
        <f>IF(LEN(M833)&gt;0,IF(OR(ISLOGICAL(M833),M833="TRUE"),"Yes",""),"")</f>
      </c>
      <c r="O833" s="59"/>
      <c r="P833" s="62" t="str">
        <f>IF(LEN(O833)&gt;0,IF(OR(ISLOGICAL(O833),O833="TRUE"),"Yes",""),"")</f>
      </c>
      <c r="Q833" s="62" t="s">
        <v>98</v>
      </c>
      <c r="R833" s="63"/>
    </row>
    <row r="834" spans="1:18" s="47" customFormat="1" ht="51">
      <c r="A834" s="63" t="s">
        <v>1742</v>
      </c>
      <c r="B834" s="63" t="s">
        <v>96</v>
      </c>
      <c r="C834" s="63" t="s">
        <v>1743</v>
      </c>
      <c r="D834" s="61"/>
      <c r="E834" s="45">
        <v>0.004</v>
      </c>
      <c r="F834" s="45">
        <v>0.004</v>
      </c>
      <c r="G834" s="66">
        <v>46120</v>
      </c>
      <c r="H834" s="45" t="str">
        <f>IF(ISNUMBER(E834),F834-E834,"N/A")</f>
        <v>N/A</v>
      </c>
      <c r="I834" s="46" t="str">
        <f>IF(E834&lt;&gt;"",IF(F834=E834,"No Change",IF(F834&gt;E834,"Increase","Decrease")),"New")</f>
        <v>Increase</v>
      </c>
      <c r="J834" s="58"/>
      <c r="K834" s="59" t="str">
        <f>IF(LEN(J834)&gt;0,IF(OR(ISLOGICAL(J834),J834="TRUE"),"Yes",""),"")</f>
      </c>
      <c r="L834" s="59"/>
      <c r="M834" s="59"/>
      <c r="N834" s="62" t="str">
        <f>IF(LEN(M834)&gt;0,IF(OR(ISLOGICAL(M834),M834="TRUE"),"Yes",""),"")</f>
      </c>
      <c r="O834" s="59"/>
      <c r="P834" s="62" t="str">
        <f>IF(LEN(O834)&gt;0,IF(OR(ISLOGICAL(O834),O834="TRUE"),"Yes",""),"")</f>
      </c>
      <c r="Q834" s="62" t="s">
        <v>98</v>
      </c>
      <c r="R834" s="63"/>
    </row>
    <row r="835" spans="1:18" s="47" customFormat="1" ht="51">
      <c r="A835" s="63" t="s">
        <v>1744</v>
      </c>
      <c r="B835" s="63" t="s">
        <v>96</v>
      </c>
      <c r="C835" s="63" t="s">
        <v>1745</v>
      </c>
      <c r="D835" s="61"/>
      <c r="E835" s="45">
        <v>0.085</v>
      </c>
      <c r="F835" s="45">
        <v>0.085</v>
      </c>
      <c r="G835" s="66">
        <v>46082</v>
      </c>
      <c r="H835" s="45" t="str">
        <f>IF(ISNUMBER(E835),F835-E835,"N/A")</f>
        <v>N/A</v>
      </c>
      <c r="I835" s="46" t="str">
        <f>IF(E835&lt;&gt;"",IF(F835=E835,"No Change",IF(F835&gt;E835,"Increase","Decrease")),"New")</f>
        <v>Increase</v>
      </c>
      <c r="J835" s="58"/>
      <c r="K835" s="59" t="str">
        <f>IF(LEN(J835)&gt;0,IF(OR(ISLOGICAL(J835),J835="TRUE"),"Yes",""),"")</f>
      </c>
      <c r="L835" s="59"/>
      <c r="M835" s="59"/>
      <c r="N835" s="62" t="str">
        <f>IF(LEN(M835)&gt;0,IF(OR(ISLOGICAL(M835),M835="TRUE"),"Yes",""),"")</f>
      </c>
      <c r="O835" s="59"/>
      <c r="P835" s="62" t="str">
        <f>IF(LEN(O835)&gt;0,IF(OR(ISLOGICAL(O835),O835="TRUE"),"Yes",""),"")</f>
      </c>
      <c r="Q835" s="62" t="s">
        <v>98</v>
      </c>
      <c r="R835" s="63"/>
    </row>
    <row r="836" spans="1:18" s="47" customFormat="1" ht="51">
      <c r="A836" s="63" t="s">
        <v>1746</v>
      </c>
      <c r="B836" s="63" t="s">
        <v>96</v>
      </c>
      <c r="C836" s="63" t="s">
        <v>1747</v>
      </c>
      <c r="D836" s="61"/>
      <c r="E836" s="45">
        <v>0.0046</v>
      </c>
      <c r="F836" s="45">
        <v>0.0046</v>
      </c>
      <c r="G836" s="66">
        <v>46113</v>
      </c>
      <c r="H836" s="45" t="str">
        <f>IF(ISNUMBER(E836),F836-E836,"N/A")</f>
        <v>N/A</v>
      </c>
      <c r="I836" s="46" t="str">
        <f>IF(E836&lt;&gt;"",IF(F836=E836,"No Change",IF(F836&gt;E836,"Increase","Decrease")),"New")</f>
        <v>Increase</v>
      </c>
      <c r="J836" s="58" t="s">
        <v>122</v>
      </c>
      <c r="K836" s="59" t="str">
        <f>IF(LEN(J836)&gt;0,IF(OR(ISLOGICAL(J836),J836="TRUE"),"Yes",""),"")</f>
      </c>
      <c r="L836" s="59"/>
      <c r="M836" s="59"/>
      <c r="N836" s="62" t="str">
        <f>IF(LEN(M836)&gt;0,IF(OR(ISLOGICAL(M836),M836="TRUE"),"Yes",""),"")</f>
      </c>
      <c r="O836" s="59"/>
      <c r="P836" s="62" t="str">
        <f>IF(LEN(O836)&gt;0,IF(OR(ISLOGICAL(O836),O836="TRUE"),"Yes",""),"")</f>
      </c>
      <c r="Q836" s="62" t="s">
        <v>98</v>
      </c>
      <c r="R836" s="63"/>
    </row>
    <row r="837" spans="1:18" s="47" customFormat="1" ht="51">
      <c r="A837" s="63" t="s">
        <v>1748</v>
      </c>
      <c r="B837" s="63" t="s">
        <v>96</v>
      </c>
      <c r="C837" s="63" t="s">
        <v>1749</v>
      </c>
      <c r="D837" s="61"/>
      <c r="E837" s="45">
        <v>0.0046</v>
      </c>
      <c r="F837" s="45">
        <v>0.0046</v>
      </c>
      <c r="G837" s="66">
        <v>46113</v>
      </c>
      <c r="H837" s="45" t="str">
        <f>IF(ISNUMBER(E837),F837-E837,"N/A")</f>
        <v>N/A</v>
      </c>
      <c r="I837" s="46" t="str">
        <f>IF(E837&lt;&gt;"",IF(F837=E837,"No Change",IF(F837&gt;E837,"Increase","Decrease")),"New")</f>
        <v>Increase</v>
      </c>
      <c r="J837" s="58" t="s">
        <v>122</v>
      </c>
      <c r="K837" s="59" t="str">
        <f>IF(LEN(J837)&gt;0,IF(OR(ISLOGICAL(J837),J837="TRUE"),"Yes",""),"")</f>
      </c>
      <c r="L837" s="59"/>
      <c r="M837" s="59"/>
      <c r="N837" s="62" t="str">
        <f>IF(LEN(M837)&gt;0,IF(OR(ISLOGICAL(M837),M837="TRUE"),"Yes",""),"")</f>
      </c>
      <c r="O837" s="59"/>
      <c r="P837" s="62" t="str">
        <f>IF(LEN(O837)&gt;0,IF(OR(ISLOGICAL(O837),O837="TRUE"),"Yes",""),"")</f>
      </c>
      <c r="Q837" s="62" t="s">
        <v>98</v>
      </c>
      <c r="R837" s="63"/>
    </row>
    <row r="838" spans="1:18" s="47" customFormat="1" ht="51">
      <c r="A838" s="63" t="s">
        <v>1750</v>
      </c>
      <c r="B838" s="63" t="s">
        <v>96</v>
      </c>
      <c r="C838" s="63" t="s">
        <v>1751</v>
      </c>
      <c r="D838" s="61"/>
      <c r="E838" s="45">
        <v>0.0046</v>
      </c>
      <c r="F838" s="45">
        <v>0.0046</v>
      </c>
      <c r="G838" s="66">
        <v>46113</v>
      </c>
      <c r="H838" s="45" t="str">
        <f>IF(ISNUMBER(E838),F838-E838,"N/A")</f>
        <v>N/A</v>
      </c>
      <c r="I838" s="46" t="str">
        <f>IF(E838&lt;&gt;"",IF(F838=E838,"No Change",IF(F838&gt;E838,"Increase","Decrease")),"New")</f>
        <v>Increase</v>
      </c>
      <c r="J838" s="58" t="s">
        <v>122</v>
      </c>
      <c r="K838" s="59" t="str">
        <f>IF(LEN(J838)&gt;0,IF(OR(ISLOGICAL(J838),J838="TRUE"),"Yes",""),"")</f>
      </c>
      <c r="L838" s="59"/>
      <c r="M838" s="59"/>
      <c r="N838" s="62" t="str">
        <f>IF(LEN(M838)&gt;0,IF(OR(ISLOGICAL(M838),M838="TRUE"),"Yes",""),"")</f>
      </c>
      <c r="O838" s="59"/>
      <c r="P838" s="62" t="str">
        <f>IF(LEN(O838)&gt;0,IF(OR(ISLOGICAL(O838),O838="TRUE"),"Yes",""),"")</f>
      </c>
      <c r="Q838" s="62" t="s">
        <v>98</v>
      </c>
      <c r="R838" s="63"/>
    </row>
    <row r="839" spans="1:18" s="47" customFormat="1" ht="51">
      <c r="A839" s="63" t="s">
        <v>1752</v>
      </c>
      <c r="B839" s="63" t="s">
        <v>96</v>
      </c>
      <c r="C839" s="63" t="s">
        <v>1753</v>
      </c>
      <c r="D839" s="61"/>
      <c r="E839" s="45">
        <v>0.0851</v>
      </c>
      <c r="F839" s="45">
        <v>0.0851</v>
      </c>
      <c r="G839" s="66">
        <v>46143</v>
      </c>
      <c r="H839" s="45" t="str">
        <f>IF(ISNUMBER(E839),F839-E839,"N/A")</f>
        <v>N/A</v>
      </c>
      <c r="I839" s="46" t="str">
        <f>IF(E839&lt;&gt;"",IF(F839=E839,"No Change",IF(F839&gt;E839,"Increase","Decrease")),"New")</f>
        <v>Increase</v>
      </c>
      <c r="J839" s="58"/>
      <c r="K839" s="59" t="str">
        <f>IF(LEN(J839)&gt;0,IF(OR(ISLOGICAL(J839),J839="TRUE"),"Yes",""),"")</f>
      </c>
      <c r="L839" s="59"/>
      <c r="M839" s="59"/>
      <c r="N839" s="62" t="str">
        <f>IF(LEN(M839)&gt;0,IF(OR(ISLOGICAL(M839),M839="TRUE"),"Yes",""),"")</f>
      </c>
      <c r="O839" s="59"/>
      <c r="P839" s="62" t="str">
        <f>IF(LEN(O839)&gt;0,IF(OR(ISLOGICAL(O839),O839="TRUE"),"Yes",""),"")</f>
      </c>
      <c r="Q839" s="62" t="s">
        <v>109</v>
      </c>
      <c r="R839" s="63"/>
    </row>
    <row r="840" spans="1:18" s="47" customFormat="1" ht="51">
      <c r="A840" s="63" t="s">
        <v>1754</v>
      </c>
      <c r="B840" s="63" t="s">
        <v>96</v>
      </c>
      <c r="C840" s="63" t="s">
        <v>1755</v>
      </c>
      <c r="D840" s="61"/>
      <c r="E840" s="45">
        <v>0.0758</v>
      </c>
      <c r="F840" s="45">
        <v>0.0758</v>
      </c>
      <c r="G840" s="66">
        <v>46099</v>
      </c>
      <c r="H840" s="45" t="str">
        <f>IF(ISNUMBER(E840),F840-E840,"N/A")</f>
        <v>N/A</v>
      </c>
      <c r="I840" s="46" t="str">
        <f>IF(E840&lt;&gt;"",IF(F840=E840,"No Change",IF(F840&gt;E840,"Increase","Decrease")),"New")</f>
        <v>Increase</v>
      </c>
      <c r="J840" s="58" t="s">
        <v>122</v>
      </c>
      <c r="K840" s="59" t="str">
        <f>IF(LEN(J840)&gt;0,IF(OR(ISLOGICAL(J840),J840="TRUE"),"Yes",""),"")</f>
      </c>
      <c r="L840" s="59"/>
      <c r="M840" s="59"/>
      <c r="N840" s="62" t="str">
        <f>IF(LEN(M840)&gt;0,IF(OR(ISLOGICAL(M840),M840="TRUE"),"Yes",""),"")</f>
      </c>
      <c r="O840" s="59"/>
      <c r="P840" s="62" t="str">
        <f>IF(LEN(O840)&gt;0,IF(OR(ISLOGICAL(O840),O840="TRUE"),"Yes",""),"")</f>
      </c>
      <c r="Q840" s="62" t="s">
        <v>109</v>
      </c>
      <c r="R840" s="63"/>
    </row>
    <row r="841" spans="1:18" s="47" customFormat="1" ht="51">
      <c r="A841" s="63" t="s">
        <v>1756</v>
      </c>
      <c r="B841" s="63" t="s">
        <v>96</v>
      </c>
      <c r="C841" s="63" t="s">
        <v>1757</v>
      </c>
      <c r="D841" s="61"/>
      <c r="E841" s="45">
        <v>0.0758</v>
      </c>
      <c r="F841" s="45">
        <v>0.0758</v>
      </c>
      <c r="G841" s="66">
        <v>46099</v>
      </c>
      <c r="H841" s="45" t="str">
        <f>IF(ISNUMBER(E841),F841-E841,"N/A")</f>
        <v>N/A</v>
      </c>
      <c r="I841" s="46" t="str">
        <f>IF(E841&lt;&gt;"",IF(F841=E841,"No Change",IF(F841&gt;E841,"Increase","Decrease")),"New")</f>
        <v>Increase</v>
      </c>
      <c r="J841" s="58" t="s">
        <v>122</v>
      </c>
      <c r="K841" s="59" t="str">
        <f>IF(LEN(J841)&gt;0,IF(OR(ISLOGICAL(J841),J841="TRUE"),"Yes",""),"")</f>
      </c>
      <c r="L841" s="59"/>
      <c r="M841" s="59"/>
      <c r="N841" s="62" t="str">
        <f>IF(LEN(M841)&gt;0,IF(OR(ISLOGICAL(M841),M841="TRUE"),"Yes",""),"")</f>
      </c>
      <c r="O841" s="59"/>
      <c r="P841" s="62" t="str">
        <f>IF(LEN(O841)&gt;0,IF(OR(ISLOGICAL(O841),O841="TRUE"),"Yes",""),"")</f>
      </c>
      <c r="Q841" s="62" t="s">
        <v>109</v>
      </c>
      <c r="R841" s="63"/>
    </row>
    <row r="842" spans="1:18" s="47" customFormat="1" ht="51">
      <c r="A842" s="63" t="s">
        <v>1758</v>
      </c>
      <c r="B842" s="63" t="s">
        <v>96</v>
      </c>
      <c r="C842" s="63" t="s">
        <v>1759</v>
      </c>
      <c r="D842" s="61"/>
      <c r="E842" s="45">
        <v>0.034</v>
      </c>
      <c r="F842" s="45">
        <v>0.034</v>
      </c>
      <c r="G842" s="66">
        <v>46143</v>
      </c>
      <c r="H842" s="45" t="str">
        <f>IF(ISNUMBER(E842),F842-E842,"N/A")</f>
        <v>N/A</v>
      </c>
      <c r="I842" s="46" t="str">
        <f>IF(E842&lt;&gt;"",IF(F842=E842,"No Change",IF(F842&gt;E842,"Increase","Decrease")),"New")</f>
        <v>Increase</v>
      </c>
      <c r="J842" s="58"/>
      <c r="K842" s="59" t="str">
        <f>IF(LEN(J842)&gt;0,IF(OR(ISLOGICAL(J842),J842="TRUE"),"Yes",""),"")</f>
      </c>
      <c r="L842" s="59"/>
      <c r="M842" s="59"/>
      <c r="N842" s="62" t="str">
        <f>IF(LEN(M842)&gt;0,IF(OR(ISLOGICAL(M842),M842="TRUE"),"Yes",""),"")</f>
      </c>
      <c r="O842" s="59"/>
      <c r="P842" s="62" t="str">
        <f>IF(LEN(O842)&gt;0,IF(OR(ISLOGICAL(O842),O842="TRUE"),"Yes",""),"")</f>
      </c>
      <c r="Q842" s="62" t="s">
        <v>98</v>
      </c>
      <c r="R842" s="63"/>
    </row>
    <row r="843" spans="1:18" s="47" customFormat="1" ht="51">
      <c r="A843" s="63" t="s">
        <v>1760</v>
      </c>
      <c r="B843" s="63" t="s">
        <v>96</v>
      </c>
      <c r="C843" s="63" t="s">
        <v>1761</v>
      </c>
      <c r="D843" s="61"/>
      <c r="E843" s="45">
        <v>0.016</v>
      </c>
      <c r="F843" s="45">
        <v>0.0275</v>
      </c>
      <c r="G843" s="66">
        <v>46148</v>
      </c>
      <c r="H843" s="45" t="str">
        <f>IF(ISNUMBER(E843),F843-E843,"N/A")</f>
        <v>N/A</v>
      </c>
      <c r="I843" s="46" t="str">
        <f>IF(E843&lt;&gt;"",IF(F843=E843,"No Change",IF(F843&gt;E843,"Increase","Decrease")),"New")</f>
        <v>Increase</v>
      </c>
      <c r="J843" s="58" t="s">
        <v>103</v>
      </c>
      <c r="K843" s="59" t="str">
        <f>IF(LEN(J843)&gt;0,IF(OR(ISLOGICAL(J843),J843="TRUE"),"Yes",""),"")</f>
      </c>
      <c r="L843" s="59"/>
      <c r="M843" s="59"/>
      <c r="N843" s="62" t="str">
        <f>IF(LEN(M843)&gt;0,IF(OR(ISLOGICAL(M843),M843="TRUE"),"Yes",""),"")</f>
      </c>
      <c r="O843" s="59"/>
      <c r="P843" s="62" t="str">
        <f>IF(LEN(O843)&gt;0,IF(OR(ISLOGICAL(O843),O843="TRUE"),"Yes",""),"")</f>
      </c>
      <c r="Q843" s="62" t="s">
        <v>98</v>
      </c>
      <c r="R843" s="63"/>
    </row>
    <row r="844" spans="1:18" s="47" customFormat="1" ht="51">
      <c r="A844" s="63" t="s">
        <v>1762</v>
      </c>
      <c r="B844" s="63" t="s">
        <v>96</v>
      </c>
      <c r="C844" s="63" t="s">
        <v>1763</v>
      </c>
      <c r="D844" s="61"/>
      <c r="E844" s="45">
        <v>0.0345</v>
      </c>
      <c r="F844" s="45">
        <v>0.036</v>
      </c>
      <c r="G844" s="66">
        <v>46148</v>
      </c>
      <c r="H844" s="45" t="str">
        <f>IF(ISNUMBER(E844),F844-E844,"N/A")</f>
        <v>N/A</v>
      </c>
      <c r="I844" s="46" t="str">
        <f>IF(E844&lt;&gt;"",IF(F844=E844,"No Change",IF(F844&gt;E844,"Increase","Decrease")),"New")</f>
        <v>Increase</v>
      </c>
      <c r="J844" s="58" t="s">
        <v>103</v>
      </c>
      <c r="K844" s="59" t="str">
        <f>IF(LEN(J844)&gt;0,IF(OR(ISLOGICAL(J844),J844="TRUE"),"Yes",""),"")</f>
      </c>
      <c r="L844" s="59"/>
      <c r="M844" s="59"/>
      <c r="N844" s="62" t="str">
        <f>IF(LEN(M844)&gt;0,IF(OR(ISLOGICAL(M844),M844="TRUE"),"Yes",""),"")</f>
      </c>
      <c r="O844" s="59"/>
      <c r="P844" s="62" t="str">
        <f>IF(LEN(O844)&gt;0,IF(OR(ISLOGICAL(O844),O844="TRUE"),"Yes",""),"")</f>
      </c>
      <c r="Q844" s="62" t="s">
        <v>98</v>
      </c>
      <c r="R844" s="63"/>
    </row>
    <row r="845" spans="1:18" s="47" customFormat="1" ht="51">
      <c r="A845" s="63" t="s">
        <v>1764</v>
      </c>
      <c r="B845" s="63" t="s">
        <v>96</v>
      </c>
      <c r="C845" s="63" t="s">
        <v>1765</v>
      </c>
      <c r="D845" s="61"/>
      <c r="E845" s="45">
        <v>0.0354</v>
      </c>
      <c r="F845" s="45">
        <v>0.0354</v>
      </c>
      <c r="G845" s="66">
        <v>46127</v>
      </c>
      <c r="H845" s="45" t="str">
        <f>IF(ISNUMBER(E845),F845-E845,"N/A")</f>
        <v>N/A</v>
      </c>
      <c r="I845" s="46" t="str">
        <f>IF(E845&lt;&gt;"",IF(F845=E845,"No Change",IF(F845&gt;E845,"Increase","Decrease")),"New")</f>
        <v>Increase</v>
      </c>
      <c r="J845" s="58" t="s">
        <v>122</v>
      </c>
      <c r="K845" s="59" t="str">
        <f>IF(LEN(J845)&gt;0,IF(OR(ISLOGICAL(J845),J845="TRUE"),"Yes",""),"")</f>
      </c>
      <c r="L845" s="59"/>
      <c r="M845" s="59"/>
      <c r="N845" s="62" t="str">
        <f>IF(LEN(M845)&gt;0,IF(OR(ISLOGICAL(M845),M845="TRUE"),"Yes",""),"")</f>
      </c>
      <c r="O845" s="59"/>
      <c r="P845" s="62" t="str">
        <f>IF(LEN(O845)&gt;0,IF(OR(ISLOGICAL(O845),O845="TRUE"),"Yes",""),"")</f>
      </c>
      <c r="Q845" s="62" t="s">
        <v>98</v>
      </c>
      <c r="R845" s="63"/>
    </row>
    <row r="846" spans="1:18" s="47" customFormat="1" ht="51">
      <c r="A846" s="63" t="s">
        <v>1766</v>
      </c>
      <c r="B846" s="63" t="s">
        <v>96</v>
      </c>
      <c r="C846" s="63" t="s">
        <v>1767</v>
      </c>
      <c r="D846" s="61"/>
      <c r="E846" s="45">
        <v>0.016</v>
      </c>
      <c r="F846" s="45">
        <v>0.0275</v>
      </c>
      <c r="G846" s="66">
        <v>46148</v>
      </c>
      <c r="H846" s="45" t="str">
        <f>IF(ISNUMBER(E846),F846-E846,"N/A")</f>
        <v>N/A</v>
      </c>
      <c r="I846" s="46" t="str">
        <f>IF(E846&lt;&gt;"",IF(F846=E846,"No Change",IF(F846&gt;E846,"Increase","Decrease")),"New")</f>
        <v>Increase</v>
      </c>
      <c r="J846" s="58" t="s">
        <v>122</v>
      </c>
      <c r="K846" s="59" t="str">
        <f>IF(LEN(J846)&gt;0,IF(OR(ISLOGICAL(J846),J846="TRUE"),"Yes",""),"")</f>
      </c>
      <c r="L846" s="59"/>
      <c r="M846" s="59"/>
      <c r="N846" s="62" t="str">
        <f>IF(LEN(M846)&gt;0,IF(OR(ISLOGICAL(M846),M846="TRUE"),"Yes",""),"")</f>
      </c>
      <c r="O846" s="59"/>
      <c r="P846" s="62" t="str">
        <f>IF(LEN(O846)&gt;0,IF(OR(ISLOGICAL(O846),O846="TRUE"),"Yes",""),"")</f>
      </c>
      <c r="Q846" s="62" t="s">
        <v>98</v>
      </c>
      <c r="R846" s="63"/>
    </row>
    <row r="847" spans="1:18" s="47" customFormat="1" ht="51">
      <c r="A847" s="63" t="s">
        <v>1768</v>
      </c>
      <c r="B847" s="63" t="s">
        <v>96</v>
      </c>
      <c r="C847" s="63" t="s">
        <v>1769</v>
      </c>
      <c r="D847" s="61"/>
      <c r="E847" s="45">
        <v>0.016</v>
      </c>
      <c r="F847" s="45">
        <v>0.0275</v>
      </c>
      <c r="G847" s="66">
        <v>46148</v>
      </c>
      <c r="H847" s="45" t="str">
        <f>IF(ISNUMBER(E847),F847-E847,"N/A")</f>
        <v>N/A</v>
      </c>
      <c r="I847" s="46" t="str">
        <f>IF(E847&lt;&gt;"",IF(F847=E847,"No Change",IF(F847&gt;E847,"Increase","Decrease")),"New")</f>
        <v>Increase</v>
      </c>
      <c r="J847" s="58" t="s">
        <v>122</v>
      </c>
      <c r="K847" s="59" t="str">
        <f>IF(LEN(J847)&gt;0,IF(OR(ISLOGICAL(J847),J847="TRUE"),"Yes",""),"")</f>
      </c>
      <c r="L847" s="59"/>
      <c r="M847" s="59"/>
      <c r="N847" s="62" t="str">
        <f>IF(LEN(M847)&gt;0,IF(OR(ISLOGICAL(M847),M847="TRUE"),"Yes",""),"")</f>
      </c>
      <c r="O847" s="59"/>
      <c r="P847" s="62" t="str">
        <f>IF(LEN(O847)&gt;0,IF(OR(ISLOGICAL(O847),O847="TRUE"),"Yes",""),"")</f>
      </c>
      <c r="Q847" s="62" t="s">
        <v>98</v>
      </c>
      <c r="R847" s="63"/>
    </row>
    <row r="848" spans="1:18" s="47" customFormat="1" ht="51">
      <c r="A848" s="63" t="s">
        <v>1770</v>
      </c>
      <c r="B848" s="63" t="s">
        <v>96</v>
      </c>
      <c r="C848" s="63" t="s">
        <v>1771</v>
      </c>
      <c r="D848" s="61"/>
      <c r="E848" s="45">
        <v>0.475</v>
      </c>
      <c r="F848" s="45">
        <v>0.475</v>
      </c>
      <c r="G848" s="66">
        <v>46022</v>
      </c>
      <c r="H848" s="45" t="str">
        <f>IF(ISNUMBER(E848),F848-E848,"N/A")</f>
        <v>N/A</v>
      </c>
      <c r="I848" s="46" t="str">
        <f>IF(E848&lt;&gt;"",IF(F848=E848,"No Change",IF(F848&gt;E848,"Increase","Decrease")),"New")</f>
        <v>Increase</v>
      </c>
      <c r="J848" s="58"/>
      <c r="K848" s="59" t="str">
        <f>IF(LEN(J848)&gt;0,IF(OR(ISLOGICAL(J848),J848="TRUE"),"Yes",""),"")</f>
      </c>
      <c r="L848" s="59"/>
      <c r="M848" s="59"/>
      <c r="N848" s="62" t="str">
        <f>IF(LEN(M848)&gt;0,IF(OR(ISLOGICAL(M848),M848="TRUE"),"Yes",""),"")</f>
      </c>
      <c r="O848" s="59"/>
      <c r="P848" s="62" t="str">
        <f>IF(LEN(O848)&gt;0,IF(OR(ISLOGICAL(O848),O848="TRUE"),"Yes",""),"")</f>
      </c>
      <c r="Q848" s="62" t="s">
        <v>109</v>
      </c>
      <c r="R848" s="63"/>
    </row>
    <row r="849" spans="1:18" s="47" customFormat="1" ht="51">
      <c r="A849" s="63" t="s">
        <v>1772</v>
      </c>
      <c r="B849" s="63" t="s">
        <v>96</v>
      </c>
      <c r="C849" s="63" t="s">
        <v>1773</v>
      </c>
      <c r="D849" s="61"/>
      <c r="E849" s="45">
        <v>0.475</v>
      </c>
      <c r="F849" s="45">
        <v>0.475</v>
      </c>
      <c r="G849" s="66">
        <v>46022</v>
      </c>
      <c r="H849" s="45" t="str">
        <f>IF(ISNUMBER(E849),F849-E849,"N/A")</f>
        <v>N/A</v>
      </c>
      <c r="I849" s="46" t="str">
        <f>IF(E849&lt;&gt;"",IF(F849=E849,"No Change",IF(F849&gt;E849,"Increase","Decrease")),"New")</f>
        <v>Increase</v>
      </c>
      <c r="J849" s="58"/>
      <c r="K849" s="59" t="str">
        <f>IF(LEN(J849)&gt;0,IF(OR(ISLOGICAL(J849),J849="TRUE"),"Yes",""),"")</f>
      </c>
      <c r="L849" s="59"/>
      <c r="M849" s="59"/>
      <c r="N849" s="62" t="str">
        <f>IF(LEN(M849)&gt;0,IF(OR(ISLOGICAL(M849),M849="TRUE"),"Yes",""),"")</f>
      </c>
      <c r="O849" s="59"/>
      <c r="P849" s="62" t="str">
        <f>IF(LEN(O849)&gt;0,IF(OR(ISLOGICAL(O849),O849="TRUE"),"Yes",""),"")</f>
      </c>
      <c r="Q849" s="62" t="s">
        <v>109</v>
      </c>
      <c r="R849" s="63"/>
    </row>
    <row r="850" spans="1:18" s="47" customFormat="1" ht="51">
      <c r="A850" s="63" t="s">
        <v>1774</v>
      </c>
      <c r="B850" s="63" t="s">
        <v>96</v>
      </c>
      <c r="C850" s="63" t="s">
        <v>1775</v>
      </c>
      <c r="D850" s="61"/>
      <c r="E850" s="45">
        <v>0.199</v>
      </c>
      <c r="F850" s="45">
        <v>0.199</v>
      </c>
      <c r="G850" s="66">
        <v>46085</v>
      </c>
      <c r="H850" s="45" t="str">
        <f>IF(ISNUMBER(E850),F850-E850,"N/A")</f>
        <v>N/A</v>
      </c>
      <c r="I850" s="46" t="str">
        <f>IF(E850&lt;&gt;"",IF(F850=E850,"No Change",IF(F850&gt;E850,"Increase","Decrease")),"New")</f>
        <v>Increase</v>
      </c>
      <c r="J850" s="58"/>
      <c r="K850" s="59" t="str">
        <f>IF(LEN(J850)&gt;0,IF(OR(ISLOGICAL(J850),J850="TRUE"),"Yes",""),"")</f>
      </c>
      <c r="L850" s="59"/>
      <c r="M850" s="59"/>
      <c r="N850" s="62" t="str">
        <f>IF(LEN(M850)&gt;0,IF(OR(ISLOGICAL(M850),M850="TRUE"),"Yes",""),"")</f>
      </c>
      <c r="O850" s="59"/>
      <c r="P850" s="62" t="str">
        <f>IF(LEN(O850)&gt;0,IF(OR(ISLOGICAL(O850),O850="TRUE"),"Yes",""),"")</f>
      </c>
      <c r="Q850" s="62" t="s">
        <v>98</v>
      </c>
      <c r="R850" s="63"/>
    </row>
    <row r="851" spans="1:18" s="47" customFormat="1" ht="51">
      <c r="A851" s="63" t="s">
        <v>1776</v>
      </c>
      <c r="B851" s="63" t="s">
        <v>96</v>
      </c>
      <c r="C851" s="63" t="s">
        <v>1777</v>
      </c>
      <c r="D851" s="61"/>
      <c r="E851" s="45">
        <v>0.199</v>
      </c>
      <c r="F851" s="45">
        <v>0.199</v>
      </c>
      <c r="G851" s="66">
        <v>46082</v>
      </c>
      <c r="H851" s="45" t="str">
        <f>IF(ISNUMBER(E851),F851-E851,"N/A")</f>
        <v>N/A</v>
      </c>
      <c r="I851" s="46" t="str">
        <f>IF(E851&lt;&gt;"",IF(F851=E851,"No Change",IF(F851&gt;E851,"Increase","Decrease")),"New")</f>
        <v>Increase</v>
      </c>
      <c r="J851" s="58" t="s">
        <v>122</v>
      </c>
      <c r="K851" s="59" t="str">
        <f>IF(LEN(J851)&gt;0,IF(OR(ISLOGICAL(J851),J851="TRUE"),"Yes",""),"")</f>
      </c>
      <c r="L851" s="59"/>
      <c r="M851" s="59"/>
      <c r="N851" s="62" t="str">
        <f>IF(LEN(M851)&gt;0,IF(OR(ISLOGICAL(M851),M851="TRUE"),"Yes",""),"")</f>
      </c>
      <c r="O851" s="59"/>
      <c r="P851" s="62" t="str">
        <f>IF(LEN(O851)&gt;0,IF(OR(ISLOGICAL(O851),O851="TRUE"),"Yes",""),"")</f>
      </c>
      <c r="Q851" s="62" t="s">
        <v>98</v>
      </c>
      <c r="R851" s="63"/>
    </row>
    <row r="852" spans="1:18" s="47" customFormat="1" ht="51">
      <c r="A852" s="63" t="s">
        <v>1778</v>
      </c>
      <c r="B852" s="63" t="s">
        <v>96</v>
      </c>
      <c r="C852" s="63" t="s">
        <v>1779</v>
      </c>
      <c r="D852" s="61"/>
      <c r="E852" s="45">
        <v>0.026</v>
      </c>
      <c r="F852" s="45">
        <v>0.026</v>
      </c>
      <c r="G852" s="66">
        <v>46050</v>
      </c>
      <c r="H852" s="45" t="str">
        <f>IF(ISNUMBER(E852),F852-E852,"N/A")</f>
        <v>N/A</v>
      </c>
      <c r="I852" s="46" t="str">
        <f>IF(E852&lt;&gt;"",IF(F852=E852,"No Change",IF(F852&gt;E852,"Increase","Decrease")),"New")</f>
        <v>Increase</v>
      </c>
      <c r="J852" s="58"/>
      <c r="K852" s="59" t="str">
        <f>IF(LEN(J852)&gt;0,IF(OR(ISLOGICAL(J852),J852="TRUE"),"Yes",""),"")</f>
      </c>
      <c r="L852" s="59"/>
      <c r="M852" s="59"/>
      <c r="N852" s="62" t="str">
        <f>IF(LEN(M852)&gt;0,IF(OR(ISLOGICAL(M852),M852="TRUE"),"Yes",""),"")</f>
      </c>
      <c r="O852" s="59"/>
      <c r="P852" s="62" t="str">
        <f>IF(LEN(O852)&gt;0,IF(OR(ISLOGICAL(O852),O852="TRUE"),"Yes",""),"")</f>
      </c>
      <c r="Q852" s="62" t="s">
        <v>98</v>
      </c>
      <c r="R852" s="63"/>
    </row>
    <row r="853" spans="1:18" s="47" customFormat="1" ht="51">
      <c r="A853" s="63" t="s">
        <v>1780</v>
      </c>
      <c r="B853" s="63" t="s">
        <v>96</v>
      </c>
      <c r="C853" s="63" t="s">
        <v>1781</v>
      </c>
      <c r="D853" s="61"/>
      <c r="E853" s="45">
        <v>0.112</v>
      </c>
      <c r="F853" s="45">
        <v>0.112</v>
      </c>
      <c r="G853" s="66">
        <v>45693</v>
      </c>
      <c r="H853" s="45" t="str">
        <f>IF(ISNUMBER(E853),F853-E853,"N/A")</f>
        <v>N/A</v>
      </c>
      <c r="I853" s="46" t="str">
        <f>IF(E853&lt;&gt;"",IF(F853=E853,"No Change",IF(F853&gt;E853,"Increase","Decrease")),"New")</f>
        <v>Increase</v>
      </c>
      <c r="J853" s="58" t="s">
        <v>122</v>
      </c>
      <c r="K853" s="59" t="str">
        <f>IF(LEN(J853)&gt;0,IF(OR(ISLOGICAL(J853),J853="TRUE"),"Yes",""),"")</f>
      </c>
      <c r="L853" s="59"/>
      <c r="M853" s="59"/>
      <c r="N853" s="62" t="str">
        <f>IF(LEN(M853)&gt;0,IF(OR(ISLOGICAL(M853),M853="TRUE"),"Yes",""),"")</f>
      </c>
      <c r="O853" s="59"/>
      <c r="P853" s="62" t="str">
        <f>IF(LEN(O853)&gt;0,IF(OR(ISLOGICAL(O853),O853="TRUE"),"Yes",""),"")</f>
      </c>
      <c r="Q853" s="62" t="s">
        <v>98</v>
      </c>
      <c r="R853" s="63"/>
    </row>
    <row r="854" spans="1:18" s="47" customFormat="1" ht="51">
      <c r="A854" s="63" t="s">
        <v>1782</v>
      </c>
      <c r="B854" s="63" t="s">
        <v>96</v>
      </c>
      <c r="C854" s="63" t="s">
        <v>1783</v>
      </c>
      <c r="D854" s="61"/>
      <c r="E854" s="45">
        <v>0.106</v>
      </c>
      <c r="F854" s="45">
        <v>0.106</v>
      </c>
      <c r="G854" s="66">
        <v>46082</v>
      </c>
      <c r="H854" s="45" t="str">
        <f>IF(ISNUMBER(E854),F854-E854,"N/A")</f>
        <v>N/A</v>
      </c>
      <c r="I854" s="46" t="str">
        <f>IF(E854&lt;&gt;"",IF(F854=E854,"No Change",IF(F854&gt;E854,"Increase","Decrease")),"New")</f>
        <v>Increase</v>
      </c>
      <c r="J854" s="58" t="s">
        <v>122</v>
      </c>
      <c r="K854" s="59" t="str">
        <f>IF(LEN(J854)&gt;0,IF(OR(ISLOGICAL(J854),J854="TRUE"),"Yes",""),"")</f>
      </c>
      <c r="L854" s="59"/>
      <c r="M854" s="59"/>
      <c r="N854" s="62" t="str">
        <f>IF(LEN(M854)&gt;0,IF(OR(ISLOGICAL(M854),M854="TRUE"),"Yes",""),"")</f>
      </c>
      <c r="O854" s="59"/>
      <c r="P854" s="62" t="str">
        <f>IF(LEN(O854)&gt;0,IF(OR(ISLOGICAL(O854),O854="TRUE"),"Yes",""),"")</f>
      </c>
      <c r="Q854" s="62" t="s">
        <v>98</v>
      </c>
      <c r="R854" s="63"/>
    </row>
    <row r="855" spans="1:18" s="47" customFormat="1" ht="51">
      <c r="A855" s="63" t="s">
        <v>1784</v>
      </c>
      <c r="B855" s="63" t="s">
        <v>96</v>
      </c>
      <c r="C855" s="63" t="s">
        <v>1785</v>
      </c>
      <c r="D855" s="61"/>
      <c r="E855" s="45">
        <v>0.1055</v>
      </c>
      <c r="F855" s="45">
        <v>0.1055</v>
      </c>
      <c r="G855" s="66">
        <v>46082</v>
      </c>
      <c r="H855" s="45" t="str">
        <f>IF(ISNUMBER(E855),F855-E855,"N/A")</f>
        <v>N/A</v>
      </c>
      <c r="I855" s="46" t="str">
        <f>IF(E855&lt;&gt;"",IF(F855=E855,"No Change",IF(F855&gt;E855,"Increase","Decrease")),"New")</f>
        <v>Increase</v>
      </c>
      <c r="J855" s="58" t="s">
        <v>122</v>
      </c>
      <c r="K855" s="59" t="str">
        <f>IF(LEN(J855)&gt;0,IF(OR(ISLOGICAL(J855),J855="TRUE"),"Yes",""),"")</f>
      </c>
      <c r="L855" s="59"/>
      <c r="M855" s="59"/>
      <c r="N855" s="62" t="str">
        <f>IF(LEN(M855)&gt;0,IF(OR(ISLOGICAL(M855),M855="TRUE"),"Yes",""),"")</f>
      </c>
      <c r="O855" s="59"/>
      <c r="P855" s="62" t="str">
        <f>IF(LEN(O855)&gt;0,IF(OR(ISLOGICAL(O855),O855="TRUE"),"Yes",""),"")</f>
      </c>
      <c r="Q855" s="62" t="s">
        <v>98</v>
      </c>
      <c r="R855" s="63"/>
    </row>
    <row r="856" spans="1:18" s="47" customFormat="1" ht="51">
      <c r="A856" s="63" t="s">
        <v>1786</v>
      </c>
      <c r="B856" s="63" t="s">
        <v>96</v>
      </c>
      <c r="C856" s="63" t="s">
        <v>1787</v>
      </c>
      <c r="D856" s="61"/>
      <c r="E856" s="45">
        <v>0.099</v>
      </c>
      <c r="F856" s="45">
        <v>0.099</v>
      </c>
      <c r="G856" s="66">
        <v>46092</v>
      </c>
      <c r="H856" s="45" t="str">
        <f>IF(ISNUMBER(E856),F856-E856,"N/A")</f>
        <v>N/A</v>
      </c>
      <c r="I856" s="46" t="str">
        <f>IF(E856&lt;&gt;"",IF(F856=E856,"No Change",IF(F856&gt;E856,"Increase","Decrease")),"New")</f>
        <v>Increase</v>
      </c>
      <c r="J856" s="58" t="s">
        <v>122</v>
      </c>
      <c r="K856" s="59" t="str">
        <f>IF(LEN(J856)&gt;0,IF(OR(ISLOGICAL(J856),J856="TRUE"),"Yes",""),"")</f>
      </c>
      <c r="L856" s="59"/>
      <c r="M856" s="59"/>
      <c r="N856" s="62" t="str">
        <f>IF(LEN(M856)&gt;0,IF(OR(ISLOGICAL(M856),M856="TRUE"),"Yes",""),"")</f>
      </c>
      <c r="O856" s="59"/>
      <c r="P856" s="62" t="str">
        <f>IF(LEN(O856)&gt;0,IF(OR(ISLOGICAL(O856),O856="TRUE"),"Yes",""),"")</f>
      </c>
      <c r="Q856" s="62" t="s">
        <v>98</v>
      </c>
      <c r="R856" s="63"/>
    </row>
    <row r="857" spans="1:18" s="47" customFormat="1" ht="51">
      <c r="A857" s="63" t="s">
        <v>1788</v>
      </c>
      <c r="B857" s="63" t="s">
        <v>96</v>
      </c>
      <c r="C857" s="63" t="s">
        <v>1789</v>
      </c>
      <c r="D857" s="61"/>
      <c r="E857" s="45">
        <v>0.75</v>
      </c>
      <c r="F857" s="45">
        <v>0.75</v>
      </c>
      <c r="G857" s="66">
        <v>45875</v>
      </c>
      <c r="H857" s="45" t="str">
        <f>IF(ISNUMBER(E857),F857-E857,"N/A")</f>
        <v>N/A</v>
      </c>
      <c r="I857" s="46" t="str">
        <f>IF(E857&lt;&gt;"",IF(F857=E857,"No Change",IF(F857&gt;E857,"Increase","Decrease")),"New")</f>
        <v>Increase</v>
      </c>
      <c r="J857" s="58"/>
      <c r="K857" s="59" t="str">
        <f>IF(LEN(J857)&gt;0,IF(OR(ISLOGICAL(J857),J857="TRUE"),"Yes",""),"")</f>
      </c>
      <c r="L857" s="59"/>
      <c r="M857" s="59"/>
      <c r="N857" s="62" t="str">
        <f>IF(LEN(M857)&gt;0,IF(OR(ISLOGICAL(M857),M857="TRUE"),"Yes",""),"")</f>
      </c>
      <c r="O857" s="59"/>
      <c r="P857" s="62" t="str">
        <f>IF(LEN(O857)&gt;0,IF(OR(ISLOGICAL(O857),O857="TRUE"),"Yes",""),"")</f>
      </c>
      <c r="Q857" s="62" t="s">
        <v>109</v>
      </c>
      <c r="R857" s="63"/>
    </row>
    <row r="858" spans="1:18" s="47" customFormat="1" ht="51">
      <c r="A858" s="63" t="s">
        <v>1790</v>
      </c>
      <c r="B858" s="63" t="s">
        <v>96</v>
      </c>
      <c r="C858" s="63" t="s">
        <v>1791</v>
      </c>
      <c r="D858" s="61"/>
      <c r="E858" s="45">
        <v>0.84</v>
      </c>
      <c r="F858" s="45">
        <v>0.84</v>
      </c>
      <c r="G858" s="66">
        <v>45108</v>
      </c>
      <c r="H858" s="45" t="str">
        <f>IF(ISNUMBER(E858),F858-E858,"N/A")</f>
        <v>N/A</v>
      </c>
      <c r="I858" s="46" t="str">
        <f>IF(E858&lt;&gt;"",IF(F858=E858,"No Change",IF(F858&gt;E858,"Increase","Decrease")),"New")</f>
        <v>Increase</v>
      </c>
      <c r="J858" s="58"/>
      <c r="K858" s="59" t="str">
        <f>IF(LEN(J858)&gt;0,IF(OR(ISLOGICAL(J858),J858="TRUE"),"Yes",""),"")</f>
      </c>
      <c r="L858" s="59"/>
      <c r="M858" s="59"/>
      <c r="N858" s="62" t="str">
        <f>IF(LEN(M858)&gt;0,IF(OR(ISLOGICAL(M858),M858="TRUE"),"Yes",""),"")</f>
      </c>
      <c r="O858" s="59"/>
      <c r="P858" s="62" t="str">
        <f>IF(LEN(O858)&gt;0,IF(OR(ISLOGICAL(O858),O858="TRUE"),"Yes",""),"")</f>
      </c>
      <c r="Q858" s="62" t="s">
        <v>109</v>
      </c>
      <c r="R858" s="63"/>
    </row>
    <row r="859" spans="1:18" s="47" customFormat="1" ht="51">
      <c r="A859" s="63" t="s">
        <v>1792</v>
      </c>
      <c r="B859" s="63" t="s">
        <v>96</v>
      </c>
      <c r="C859" s="63" t="s">
        <v>1793</v>
      </c>
      <c r="D859" s="61"/>
      <c r="E859" s="45">
        <v>0.84</v>
      </c>
      <c r="F859" s="45">
        <v>0.84</v>
      </c>
      <c r="G859" s="66">
        <v>44517</v>
      </c>
      <c r="H859" s="45" t="str">
        <f>IF(ISNUMBER(E859),F859-E859,"N/A")</f>
        <v>N/A</v>
      </c>
      <c r="I859" s="46" t="str">
        <f>IF(E859&lt;&gt;"",IF(F859=E859,"No Change",IF(F859&gt;E859,"Increase","Decrease")),"New")</f>
        <v>Increase</v>
      </c>
      <c r="J859" s="58" t="s">
        <v>122</v>
      </c>
      <c r="K859" s="59" t="str">
        <f>IF(LEN(J859)&gt;0,IF(OR(ISLOGICAL(J859),J859="TRUE"),"Yes",""),"")</f>
      </c>
      <c r="L859" s="59"/>
      <c r="M859" s="59"/>
      <c r="N859" s="62" t="str">
        <f>IF(LEN(M859)&gt;0,IF(OR(ISLOGICAL(M859),M859="TRUE"),"Yes",""),"")</f>
      </c>
      <c r="O859" s="59"/>
      <c r="P859" s="62" t="str">
        <f>IF(LEN(O859)&gt;0,IF(OR(ISLOGICAL(O859),O859="TRUE"),"Yes",""),"")</f>
      </c>
      <c r="Q859" s="62" t="s">
        <v>109</v>
      </c>
      <c r="R859" s="63"/>
    </row>
    <row r="860" spans="1:18" s="47" customFormat="1" ht="51">
      <c r="A860" s="63" t="s">
        <v>1794</v>
      </c>
      <c r="B860" s="63" t="s">
        <v>96</v>
      </c>
      <c r="C860" s="63" t="s">
        <v>1795</v>
      </c>
      <c r="D860" s="61"/>
      <c r="E860" s="45">
        <v>0.84</v>
      </c>
      <c r="F860" s="45">
        <v>0.84</v>
      </c>
      <c r="G860" s="66">
        <v>45882</v>
      </c>
      <c r="H860" s="45" t="str">
        <f>IF(ISNUMBER(E860),F860-E860,"N/A")</f>
        <v>N/A</v>
      </c>
      <c r="I860" s="46" t="str">
        <f>IF(E860&lt;&gt;"",IF(F860=E860,"No Change",IF(F860&gt;E860,"Increase","Decrease")),"New")</f>
        <v>Increase</v>
      </c>
      <c r="J860" s="58"/>
      <c r="K860" s="59" t="str">
        <f>IF(LEN(J860)&gt;0,IF(OR(ISLOGICAL(J860),J860="TRUE"),"Yes",""),"")</f>
      </c>
      <c r="L860" s="59"/>
      <c r="M860" s="59"/>
      <c r="N860" s="62" t="str">
        <f>IF(LEN(M860)&gt;0,IF(OR(ISLOGICAL(M860),M860="TRUE"),"Yes",""),"")</f>
      </c>
      <c r="O860" s="59"/>
      <c r="P860" s="62" t="str">
        <f>IF(LEN(O860)&gt;0,IF(OR(ISLOGICAL(O860),O860="TRUE"),"Yes",""),"")</f>
      </c>
      <c r="Q860" s="62" t="s">
        <v>109</v>
      </c>
      <c r="R860" s="63"/>
    </row>
    <row r="861" spans="1:18" s="47" customFormat="1" ht="51">
      <c r="A861" s="63" t="s">
        <v>1796</v>
      </c>
      <c r="B861" s="63" t="s">
        <v>96</v>
      </c>
      <c r="C861" s="63" t="s">
        <v>1797</v>
      </c>
      <c r="D861" s="61"/>
      <c r="E861" s="45">
        <v>0.0145</v>
      </c>
      <c r="F861" s="45">
        <v>0.0145</v>
      </c>
      <c r="G861" s="66">
        <v>46074</v>
      </c>
      <c r="H861" s="45" t="str">
        <f>IF(ISNUMBER(E861),F861-E861,"N/A")</f>
        <v>N/A</v>
      </c>
      <c r="I861" s="46" t="str">
        <f>IF(E861&lt;&gt;"",IF(F861=E861,"No Change",IF(F861&gt;E861,"Increase","Decrease")),"New")</f>
        <v>Increase</v>
      </c>
      <c r="J861" s="58"/>
      <c r="K861" s="59" t="str">
        <f>IF(LEN(J861)&gt;0,IF(OR(ISLOGICAL(J861),J861="TRUE"),"Yes",""),"")</f>
      </c>
      <c r="L861" s="59"/>
      <c r="M861" s="59"/>
      <c r="N861" s="62" t="str">
        <f>IF(LEN(M861)&gt;0,IF(OR(ISLOGICAL(M861),M861="TRUE"),"Yes",""),"")</f>
      </c>
      <c r="O861" s="59"/>
      <c r="P861" s="62" t="str">
        <f>IF(LEN(O861)&gt;0,IF(OR(ISLOGICAL(O861),O861="TRUE"),"Yes",""),"")</f>
      </c>
      <c r="Q861" s="62" t="s">
        <v>98</v>
      </c>
      <c r="R861" s="63"/>
    </row>
    <row r="862" spans="1:18" s="47" customFormat="1" ht="51">
      <c r="A862" s="63" t="s">
        <v>1798</v>
      </c>
      <c r="B862" s="63" t="s">
        <v>96</v>
      </c>
      <c r="C862" s="63" t="s">
        <v>1799</v>
      </c>
      <c r="D862" s="61"/>
      <c r="E862" s="45">
        <v>0.0145</v>
      </c>
      <c r="F862" s="45">
        <v>0.0145</v>
      </c>
      <c r="G862" s="66">
        <v>46082</v>
      </c>
      <c r="H862" s="45" t="str">
        <f>IF(ISNUMBER(E862),F862-E862,"N/A")</f>
        <v>N/A</v>
      </c>
      <c r="I862" s="46" t="str">
        <f>IF(E862&lt;&gt;"",IF(F862=E862,"No Change",IF(F862&gt;E862,"Increase","Decrease")),"New")</f>
        <v>Increase</v>
      </c>
      <c r="J862" s="58"/>
      <c r="K862" s="59" t="str">
        <f>IF(LEN(J862)&gt;0,IF(OR(ISLOGICAL(J862),J862="TRUE"),"Yes",""),"")</f>
      </c>
      <c r="L862" s="59"/>
      <c r="M862" s="59"/>
      <c r="N862" s="62" t="str">
        <f>IF(LEN(M862)&gt;0,IF(OR(ISLOGICAL(M862),M862="TRUE"),"Yes",""),"")</f>
      </c>
      <c r="O862" s="59"/>
      <c r="P862" s="62" t="str">
        <f>IF(LEN(O862)&gt;0,IF(OR(ISLOGICAL(O862),O862="TRUE"),"Yes",""),"")</f>
      </c>
      <c r="Q862" s="62" t="s">
        <v>98</v>
      </c>
      <c r="R862" s="63"/>
    </row>
    <row r="863" spans="1:18" s="47" customFormat="1" ht="51">
      <c r="A863" s="63" t="s">
        <v>1800</v>
      </c>
      <c r="B863" s="63" t="s">
        <v>96</v>
      </c>
      <c r="C863" s="63" t="s">
        <v>1801</v>
      </c>
      <c r="D863" s="61"/>
      <c r="E863" s="45">
        <v>0.0355</v>
      </c>
      <c r="F863" s="45">
        <v>0.0355</v>
      </c>
      <c r="G863" s="66">
        <v>45434</v>
      </c>
      <c r="H863" s="45" t="str">
        <f>IF(ISNUMBER(E863),F863-E863,"N/A")</f>
        <v>N/A</v>
      </c>
      <c r="I863" s="46" t="str">
        <f>IF(E863&lt;&gt;"",IF(F863=E863,"No Change",IF(F863&gt;E863,"Increase","Decrease")),"New")</f>
        <v>Increase</v>
      </c>
      <c r="J863" s="58" t="s">
        <v>122</v>
      </c>
      <c r="K863" s="59" t="str">
        <f>IF(LEN(J863)&gt;0,IF(OR(ISLOGICAL(J863),J863="TRUE"),"Yes",""),"")</f>
      </c>
      <c r="L863" s="59"/>
      <c r="M863" s="59"/>
      <c r="N863" s="62" t="str">
        <f>IF(LEN(M863)&gt;0,IF(OR(ISLOGICAL(M863),M863="TRUE"),"Yes",""),"")</f>
      </c>
      <c r="O863" s="59"/>
      <c r="P863" s="62" t="str">
        <f>IF(LEN(O863)&gt;0,IF(OR(ISLOGICAL(O863),O863="TRUE"),"Yes",""),"")</f>
      </c>
      <c r="Q863" s="62" t="s">
        <v>98</v>
      </c>
      <c r="R863" s="63"/>
    </row>
    <row r="864" spans="1:18" s="47" customFormat="1" ht="51">
      <c r="A864" s="63" t="s">
        <v>1802</v>
      </c>
      <c r="B864" s="63" t="s">
        <v>96</v>
      </c>
      <c r="C864" s="63" t="s">
        <v>1803</v>
      </c>
      <c r="D864" s="61"/>
      <c r="E864" s="45">
        <v>0.0417</v>
      </c>
      <c r="F864" s="45">
        <v>0.0417</v>
      </c>
      <c r="G864" s="66">
        <v>46074</v>
      </c>
      <c r="H864" s="45" t="str">
        <f>IF(ISNUMBER(E864),F864-E864,"N/A")</f>
        <v>N/A</v>
      </c>
      <c r="I864" s="46" t="str">
        <f>IF(E864&lt;&gt;"",IF(F864=E864,"No Change",IF(F864&gt;E864,"Increase","Decrease")),"New")</f>
        <v>Increase</v>
      </c>
      <c r="J864" s="58" t="s">
        <v>122</v>
      </c>
      <c r="K864" s="59" t="str">
        <f>IF(LEN(J864)&gt;0,IF(OR(ISLOGICAL(J864),J864="TRUE"),"Yes",""),"")</f>
      </c>
      <c r="L864" s="59"/>
      <c r="M864" s="59"/>
      <c r="N864" s="62" t="str">
        <f>IF(LEN(M864)&gt;0,IF(OR(ISLOGICAL(M864),M864="TRUE"),"Yes",""),"")</f>
      </c>
      <c r="O864" s="59"/>
      <c r="P864" s="62" t="str">
        <f>IF(LEN(O864)&gt;0,IF(OR(ISLOGICAL(O864),O864="TRUE"),"Yes",""),"")</f>
      </c>
      <c r="Q864" s="62" t="s">
        <v>98</v>
      </c>
      <c r="R864" s="63"/>
    </row>
    <row r="865" spans="1:18" s="47" customFormat="1" ht="51">
      <c r="A865" s="63" t="s">
        <v>1804</v>
      </c>
      <c r="B865" s="63" t="s">
        <v>96</v>
      </c>
      <c r="C865" s="63" t="s">
        <v>1805</v>
      </c>
      <c r="D865" s="61"/>
      <c r="E865" s="45">
        <v>0.0355</v>
      </c>
      <c r="F865" s="45">
        <v>0.0355</v>
      </c>
      <c r="G865" s="66">
        <v>45483</v>
      </c>
      <c r="H865" s="45" t="str">
        <f>IF(ISNUMBER(E865),F865-E865,"N/A")</f>
        <v>N/A</v>
      </c>
      <c r="I865" s="46" t="str">
        <f>IF(E865&lt;&gt;"",IF(F865=E865,"No Change",IF(F865&gt;E865,"Increase","Decrease")),"New")</f>
        <v>Increase</v>
      </c>
      <c r="J865" s="58" t="s">
        <v>122</v>
      </c>
      <c r="K865" s="59" t="str">
        <f>IF(LEN(J865)&gt;0,IF(OR(ISLOGICAL(J865),J865="TRUE"),"Yes",""),"")</f>
      </c>
      <c r="L865" s="59"/>
      <c r="M865" s="59"/>
      <c r="N865" s="62" t="str">
        <f>IF(LEN(M865)&gt;0,IF(OR(ISLOGICAL(M865),M865="TRUE"),"Yes",""),"")</f>
      </c>
      <c r="O865" s="59"/>
      <c r="P865" s="62" t="str">
        <f>IF(LEN(O865)&gt;0,IF(OR(ISLOGICAL(O865),O865="TRUE"),"Yes",""),"")</f>
      </c>
      <c r="Q865" s="62" t="s">
        <v>98</v>
      </c>
      <c r="R865" s="63"/>
    </row>
    <row r="866" spans="1:18" s="47" customFormat="1" ht="51">
      <c r="A866" s="63" t="s">
        <v>1806</v>
      </c>
      <c r="B866" s="63" t="s">
        <v>96</v>
      </c>
      <c r="C866" s="63" t="s">
        <v>1807</v>
      </c>
      <c r="D866" s="61"/>
      <c r="E866" s="45">
        <v>0.0365</v>
      </c>
      <c r="F866" s="45">
        <v>0.0365</v>
      </c>
      <c r="G866" s="66">
        <v>46057</v>
      </c>
      <c r="H866" s="45" t="str">
        <f>IF(ISNUMBER(E866),F866-E866,"N/A")</f>
        <v>N/A</v>
      </c>
      <c r="I866" s="46" t="str">
        <f>IF(E866&lt;&gt;"",IF(F866=E866,"No Change",IF(F866&gt;E866,"Increase","Decrease")),"New")</f>
        <v>Increase</v>
      </c>
      <c r="J866" s="58" t="s">
        <v>122</v>
      </c>
      <c r="K866" s="59" t="str">
        <f>IF(LEN(J866)&gt;0,IF(OR(ISLOGICAL(J866),J866="TRUE"),"Yes",""),"")</f>
      </c>
      <c r="L866" s="59"/>
      <c r="M866" s="59"/>
      <c r="N866" s="62" t="str">
        <f>IF(LEN(M866)&gt;0,IF(OR(ISLOGICAL(M866),M866="TRUE"),"Yes",""),"")</f>
      </c>
      <c r="O866" s="59"/>
      <c r="P866" s="62" t="str">
        <f>IF(LEN(O866)&gt;0,IF(OR(ISLOGICAL(O866),O866="TRUE"),"Yes",""),"")</f>
      </c>
      <c r="Q866" s="62" t="s">
        <v>98</v>
      </c>
      <c r="R866" s="63"/>
    </row>
    <row r="867" spans="1:18" s="47" customFormat="1" ht="51">
      <c r="A867" s="63" t="s">
        <v>1808</v>
      </c>
      <c r="B867" s="63" t="s">
        <v>96</v>
      </c>
      <c r="C867" s="63" t="s">
        <v>1809</v>
      </c>
      <c r="D867" s="61"/>
      <c r="E867" s="45">
        <v>0.0417</v>
      </c>
      <c r="F867" s="45">
        <v>0.0417</v>
      </c>
      <c r="G867" s="66">
        <v>46082</v>
      </c>
      <c r="H867" s="45" t="str">
        <f>IF(ISNUMBER(E867),F867-E867,"N/A")</f>
        <v>N/A</v>
      </c>
      <c r="I867" s="46" t="str">
        <f>IF(E867&lt;&gt;"",IF(F867=E867,"No Change",IF(F867&gt;E867,"Increase","Decrease")),"New")</f>
        <v>Increase</v>
      </c>
      <c r="J867" s="58"/>
      <c r="K867" s="59" t="str">
        <f>IF(LEN(J867)&gt;0,IF(OR(ISLOGICAL(J867),J867="TRUE"),"Yes",""),"")</f>
      </c>
      <c r="L867" s="59"/>
      <c r="M867" s="59"/>
      <c r="N867" s="62" t="str">
        <f>IF(LEN(M867)&gt;0,IF(OR(ISLOGICAL(M867),M867="TRUE"),"Yes",""),"")</f>
      </c>
      <c r="O867" s="59"/>
      <c r="P867" s="62" t="str">
        <f>IF(LEN(O867)&gt;0,IF(OR(ISLOGICAL(O867),O867="TRUE"),"Yes",""),"")</f>
      </c>
      <c r="Q867" s="62" t="s">
        <v>98</v>
      </c>
      <c r="R867" s="63"/>
    </row>
    <row r="868" spans="1:18" s="47" customFormat="1" ht="51">
      <c r="A868" s="63" t="s">
        <v>1810</v>
      </c>
      <c r="B868" s="63" t="s">
        <v>96</v>
      </c>
      <c r="C868" s="63" t="s">
        <v>1811</v>
      </c>
      <c r="D868" s="61"/>
      <c r="E868" s="45">
        <v>0.002</v>
      </c>
      <c r="F868" s="45">
        <v>0.0022</v>
      </c>
      <c r="G868" s="66">
        <v>46148</v>
      </c>
      <c r="H868" s="45" t="str">
        <f>IF(ISNUMBER(E868),F868-E868,"N/A")</f>
        <v>N/A</v>
      </c>
      <c r="I868" s="46" t="str">
        <f>IF(E868&lt;&gt;"",IF(F868=E868,"No Change",IF(F868&gt;E868,"Increase","Decrease")),"New")</f>
        <v>Increase</v>
      </c>
      <c r="J868" s="58"/>
      <c r="K868" s="59" t="str">
        <f>IF(LEN(J868)&gt;0,IF(OR(ISLOGICAL(J868),J868="TRUE"),"Yes",""),"")</f>
      </c>
      <c r="L868" s="59"/>
      <c r="M868" s="59"/>
      <c r="N868" s="62" t="str">
        <f>IF(LEN(M868)&gt;0,IF(OR(ISLOGICAL(M868),M868="TRUE"),"Yes",""),"")</f>
      </c>
      <c r="O868" s="59"/>
      <c r="P868" s="62" t="str">
        <f>IF(LEN(O868)&gt;0,IF(OR(ISLOGICAL(O868),O868="TRUE"),"Yes",""),"")</f>
      </c>
      <c r="Q868" s="62" t="s">
        <v>98</v>
      </c>
      <c r="R868" s="63"/>
    </row>
    <row r="869" spans="1:18" s="47" customFormat="1" ht="51">
      <c r="A869" s="63" t="s">
        <v>1812</v>
      </c>
      <c r="B869" s="63" t="s">
        <v>96</v>
      </c>
      <c r="C869" s="63" t="s">
        <v>1813</v>
      </c>
      <c r="D869" s="61"/>
      <c r="E869" s="45">
        <v>0.002</v>
      </c>
      <c r="F869" s="45">
        <v>0.002</v>
      </c>
      <c r="G869" s="66">
        <v>46074</v>
      </c>
      <c r="H869" s="45" t="str">
        <f>IF(ISNUMBER(E869),F869-E869,"N/A")</f>
        <v>N/A</v>
      </c>
      <c r="I869" s="46" t="str">
        <f>IF(E869&lt;&gt;"",IF(F869=E869,"No Change",IF(F869&gt;E869,"Increase","Decrease")),"New")</f>
        <v>Increase</v>
      </c>
      <c r="J869" s="58"/>
      <c r="K869" s="59" t="str">
        <f>IF(LEN(J869)&gt;0,IF(OR(ISLOGICAL(J869),J869="TRUE"),"Yes",""),"")</f>
      </c>
      <c r="L869" s="59"/>
      <c r="M869" s="59"/>
      <c r="N869" s="62" t="str">
        <f>IF(LEN(M869)&gt;0,IF(OR(ISLOGICAL(M869),M869="TRUE"),"Yes",""),"")</f>
      </c>
      <c r="O869" s="59"/>
      <c r="P869" s="62" t="str">
        <f>IF(LEN(O869)&gt;0,IF(OR(ISLOGICAL(O869),O869="TRUE"),"Yes",""),"")</f>
      </c>
      <c r="Q869" s="62" t="s">
        <v>98</v>
      </c>
      <c r="R869" s="63"/>
    </row>
    <row r="870" spans="1:18" s="47" customFormat="1" ht="51">
      <c r="A870" s="63" t="s">
        <v>1814</v>
      </c>
      <c r="B870" s="63" t="s">
        <v>96</v>
      </c>
      <c r="C870" s="63" t="s">
        <v>1815</v>
      </c>
      <c r="D870" s="61"/>
      <c r="E870" s="45">
        <v>0.0014</v>
      </c>
      <c r="F870" s="45">
        <v>0.0014</v>
      </c>
      <c r="G870" s="66">
        <v>46143</v>
      </c>
      <c r="H870" s="45" t="str">
        <f>IF(ISNUMBER(E870),F870-E870,"N/A")</f>
        <v>N/A</v>
      </c>
      <c r="I870" s="46" t="str">
        <f>IF(E870&lt;&gt;"",IF(F870=E870,"No Change",IF(F870&gt;E870,"Increase","Decrease")),"New")</f>
        <v>Increase</v>
      </c>
      <c r="J870" s="58"/>
      <c r="K870" s="59" t="str">
        <f>IF(LEN(J870)&gt;0,IF(OR(ISLOGICAL(J870),J870="TRUE"),"Yes",""),"")</f>
      </c>
      <c r="L870" s="59"/>
      <c r="M870" s="59"/>
      <c r="N870" s="62" t="str">
        <f>IF(LEN(M870)&gt;0,IF(OR(ISLOGICAL(M870),M870="TRUE"),"Yes",""),"")</f>
      </c>
      <c r="O870" s="59"/>
      <c r="P870" s="62" t="str">
        <f>IF(LEN(O870)&gt;0,IF(OR(ISLOGICAL(O870),O870="TRUE"),"Yes",""),"")</f>
      </c>
      <c r="Q870" s="62" t="s">
        <v>98</v>
      </c>
      <c r="R870" s="63"/>
    </row>
    <row r="871" spans="1:18" s="47" customFormat="1" ht="51">
      <c r="A871" s="63" t="s">
        <v>1816</v>
      </c>
      <c r="B871" s="63" t="s">
        <v>96</v>
      </c>
      <c r="C871" s="63" t="s">
        <v>1817</v>
      </c>
      <c r="D871" s="61"/>
      <c r="E871" s="45">
        <v>0.0014</v>
      </c>
      <c r="F871" s="45">
        <v>0.0014</v>
      </c>
      <c r="G871" s="66">
        <v>46143</v>
      </c>
      <c r="H871" s="45" t="str">
        <f>IF(ISNUMBER(E871),F871-E871,"N/A")</f>
        <v>N/A</v>
      </c>
      <c r="I871" s="46" t="str">
        <f>IF(E871&lt;&gt;"",IF(F871=E871,"No Change",IF(F871&gt;E871,"Increase","Decrease")),"New")</f>
        <v>Increase</v>
      </c>
      <c r="J871" s="58" t="s">
        <v>122</v>
      </c>
      <c r="K871" s="59" t="str">
        <f>IF(LEN(J871)&gt;0,IF(OR(ISLOGICAL(J871),J871="TRUE"),"Yes",""),"")</f>
      </c>
      <c r="L871" s="59"/>
      <c r="M871" s="59"/>
      <c r="N871" s="62" t="str">
        <f>IF(LEN(M871)&gt;0,IF(OR(ISLOGICAL(M871),M871="TRUE"),"Yes",""),"")</f>
      </c>
      <c r="O871" s="59"/>
      <c r="P871" s="62" t="str">
        <f>IF(LEN(O871)&gt;0,IF(OR(ISLOGICAL(O871),O871="TRUE"),"Yes",""),"")</f>
      </c>
      <c r="Q871" s="62" t="s">
        <v>98</v>
      </c>
      <c r="R871" s="63"/>
    </row>
    <row r="872" spans="1:18" s="47" customFormat="1" ht="51">
      <c r="A872" s="63" t="s">
        <v>1818</v>
      </c>
      <c r="B872" s="63" t="s">
        <v>96</v>
      </c>
      <c r="C872" s="63" t="s">
        <v>1819</v>
      </c>
      <c r="D872" s="61"/>
      <c r="E872" s="45">
        <v>0.0014</v>
      </c>
      <c r="F872" s="45">
        <v>0.0014</v>
      </c>
      <c r="G872" s="66">
        <v>46143</v>
      </c>
      <c r="H872" s="45" t="str">
        <f>IF(ISNUMBER(E872),F872-E872,"N/A")</f>
        <v>N/A</v>
      </c>
      <c r="I872" s="46" t="str">
        <f>IF(E872&lt;&gt;"",IF(F872=E872,"No Change",IF(F872&gt;E872,"Increase","Decrease")),"New")</f>
        <v>Increase</v>
      </c>
      <c r="J872" s="58"/>
      <c r="K872" s="59" t="str">
        <f>IF(LEN(J872)&gt;0,IF(OR(ISLOGICAL(J872),J872="TRUE"),"Yes",""),"")</f>
      </c>
      <c r="L872" s="59"/>
      <c r="M872" s="59"/>
      <c r="N872" s="62" t="str">
        <f>IF(LEN(M872)&gt;0,IF(OR(ISLOGICAL(M872),M872="TRUE"),"Yes",""),"")</f>
      </c>
      <c r="O872" s="59"/>
      <c r="P872" s="62" t="str">
        <f>IF(LEN(O872)&gt;0,IF(OR(ISLOGICAL(O872),O872="TRUE"),"Yes",""),"")</f>
      </c>
      <c r="Q872" s="62" t="s">
        <v>98</v>
      </c>
      <c r="R872" s="63"/>
    </row>
    <row r="873" spans="1:18" s="47" customFormat="1" ht="51">
      <c r="A873" s="63" t="s">
        <v>1820</v>
      </c>
      <c r="B873" s="63" t="s">
        <v>96</v>
      </c>
      <c r="C873" s="63" t="s">
        <v>1821</v>
      </c>
      <c r="D873" s="61"/>
      <c r="E873" s="45">
        <v>0.263</v>
      </c>
      <c r="F873" s="45">
        <v>0.263</v>
      </c>
      <c r="G873" s="66">
        <v>46082</v>
      </c>
      <c r="H873" s="45" t="str">
        <f>IF(ISNUMBER(E873),F873-E873,"N/A")</f>
        <v>N/A</v>
      </c>
      <c r="I873" s="46" t="str">
        <f>IF(E873&lt;&gt;"",IF(F873=E873,"No Change",IF(F873&gt;E873,"Increase","Decrease")),"New")</f>
        <v>Increase</v>
      </c>
      <c r="J873" s="58"/>
      <c r="K873" s="59" t="str">
        <f>IF(LEN(J873)&gt;0,IF(OR(ISLOGICAL(J873),J873="TRUE"),"Yes",""),"")</f>
      </c>
      <c r="L873" s="59"/>
      <c r="M873" s="59"/>
      <c r="N873" s="62" t="str">
        <f>IF(LEN(M873)&gt;0,IF(OR(ISLOGICAL(M873),M873="TRUE"),"Yes",""),"")</f>
      </c>
      <c r="O873" s="59"/>
      <c r="P873" s="62" t="str">
        <f>IF(LEN(O873)&gt;0,IF(OR(ISLOGICAL(O873),O873="TRUE"),"Yes",""),"")</f>
      </c>
      <c r="Q873" s="62" t="s">
        <v>98</v>
      </c>
      <c r="R873" s="63"/>
    </row>
    <row r="874" spans="1:18" s="47" customFormat="1" ht="51">
      <c r="A874" s="63" t="s">
        <v>1822</v>
      </c>
      <c r="B874" s="63" t="s">
        <v>96</v>
      </c>
      <c r="C874" s="63" t="s">
        <v>1823</v>
      </c>
      <c r="D874" s="61"/>
      <c r="E874" s="45">
        <v>0.115</v>
      </c>
      <c r="F874" s="45">
        <v>0.115</v>
      </c>
      <c r="G874" s="66">
        <v>46092</v>
      </c>
      <c r="H874" s="45" t="str">
        <f>IF(ISNUMBER(E874),F874-E874,"N/A")</f>
        <v>N/A</v>
      </c>
      <c r="I874" s="46" t="str">
        <f>IF(E874&lt;&gt;"",IF(F874=E874,"No Change",IF(F874&gt;E874,"Increase","Decrease")),"New")</f>
        <v>Increase</v>
      </c>
      <c r="J874" s="58"/>
      <c r="K874" s="59" t="str">
        <f>IF(LEN(J874)&gt;0,IF(OR(ISLOGICAL(J874),J874="TRUE"),"Yes",""),"")</f>
      </c>
      <c r="L874" s="59"/>
      <c r="M874" s="59"/>
      <c r="N874" s="62" t="str">
        <f>IF(LEN(M874)&gt;0,IF(OR(ISLOGICAL(M874),M874="TRUE"),"Yes",""),"")</f>
      </c>
      <c r="O874" s="59"/>
      <c r="P874" s="62" t="str">
        <f>IF(LEN(O874)&gt;0,IF(OR(ISLOGICAL(O874),O874="TRUE"),"Yes",""),"")</f>
      </c>
      <c r="Q874" s="62" t="s">
        <v>104</v>
      </c>
      <c r="R874" s="63"/>
    </row>
    <row r="875" spans="1:18" s="47" customFormat="1" ht="51">
      <c r="A875" s="63" t="s">
        <v>1824</v>
      </c>
      <c r="B875" s="63" t="s">
        <v>96</v>
      </c>
      <c r="C875" s="63" t="s">
        <v>1825</v>
      </c>
      <c r="D875" s="61"/>
      <c r="E875" s="45">
        <v>0.071</v>
      </c>
      <c r="F875" s="45">
        <v>0.071</v>
      </c>
      <c r="G875" s="66">
        <v>46078</v>
      </c>
      <c r="H875" s="45" t="str">
        <f>IF(ISNUMBER(E875),F875-E875,"N/A")</f>
        <v>N/A</v>
      </c>
      <c r="I875" s="46" t="str">
        <f>IF(E875&lt;&gt;"",IF(F875=E875,"No Change",IF(F875&gt;E875,"Increase","Decrease")),"New")</f>
        <v>Increase</v>
      </c>
      <c r="J875" s="58"/>
      <c r="K875" s="59" t="str">
        <f>IF(LEN(J875)&gt;0,IF(OR(ISLOGICAL(J875),J875="TRUE"),"Yes",""),"")</f>
      </c>
      <c r="L875" s="59"/>
      <c r="M875" s="59"/>
      <c r="N875" s="62" t="str">
        <f>IF(LEN(M875)&gt;0,IF(OR(ISLOGICAL(M875),M875="TRUE"),"Yes",""),"")</f>
      </c>
      <c r="O875" s="59"/>
      <c r="P875" s="62" t="str">
        <f>IF(LEN(O875)&gt;0,IF(OR(ISLOGICAL(O875),O875="TRUE"),"Yes",""),"")</f>
      </c>
      <c r="Q875" s="62" t="s">
        <v>98</v>
      </c>
      <c r="R875" s="63"/>
    </row>
    <row r="876" spans="1:18" s="47" customFormat="1" ht="51">
      <c r="A876" s="63" t="s">
        <v>1826</v>
      </c>
      <c r="B876" s="63" t="s">
        <v>96</v>
      </c>
      <c r="C876" s="63" t="s">
        <v>1827</v>
      </c>
      <c r="D876" s="61"/>
      <c r="E876" s="45">
        <v>0.1305</v>
      </c>
      <c r="F876" s="45">
        <v>0.1305</v>
      </c>
      <c r="G876" s="66">
        <v>46082</v>
      </c>
      <c r="H876" s="45" t="str">
        <f>IF(ISNUMBER(E876),F876-E876,"N/A")</f>
        <v>N/A</v>
      </c>
      <c r="I876" s="46" t="str">
        <f>IF(E876&lt;&gt;"",IF(F876=E876,"No Change",IF(F876&gt;E876,"Increase","Decrease")),"New")</f>
        <v>Increase</v>
      </c>
      <c r="J876" s="58" t="s">
        <v>122</v>
      </c>
      <c r="K876" s="59" t="str">
        <f>IF(LEN(J876)&gt;0,IF(OR(ISLOGICAL(J876),J876="TRUE"),"Yes",""),"")</f>
      </c>
      <c r="L876" s="59"/>
      <c r="M876" s="59"/>
      <c r="N876" s="62" t="str">
        <f>IF(LEN(M876)&gt;0,IF(OR(ISLOGICAL(M876),M876="TRUE"),"Yes",""),"")</f>
      </c>
      <c r="O876" s="59"/>
      <c r="P876" s="62" t="str">
        <f>IF(LEN(O876)&gt;0,IF(OR(ISLOGICAL(O876),O876="TRUE"),"Yes",""),"")</f>
      </c>
      <c r="Q876" s="62" t="s">
        <v>104</v>
      </c>
      <c r="R876" s="63"/>
    </row>
    <row r="877" spans="1:18" s="47" customFormat="1" ht="51">
      <c r="A877" s="63" t="s">
        <v>1828</v>
      </c>
      <c r="B877" s="63" t="s">
        <v>96</v>
      </c>
      <c r="C877" s="63" t="s">
        <v>1829</v>
      </c>
      <c r="D877" s="61"/>
      <c r="E877" s="45">
        <v>0.062</v>
      </c>
      <c r="F877" s="45">
        <v>0.062</v>
      </c>
      <c r="G877" s="66">
        <v>46092</v>
      </c>
      <c r="H877" s="45" t="str">
        <f>IF(ISNUMBER(E877),F877-E877,"N/A")</f>
        <v>N/A</v>
      </c>
      <c r="I877" s="46" t="str">
        <f>IF(E877&lt;&gt;"",IF(F877=E877,"No Change",IF(F877&gt;E877,"Increase","Decrease")),"New")</f>
        <v>Increase</v>
      </c>
      <c r="J877" s="58" t="s">
        <v>122</v>
      </c>
      <c r="K877" s="59" t="str">
        <f>IF(LEN(J877)&gt;0,IF(OR(ISLOGICAL(J877),J877="TRUE"),"Yes",""),"")</f>
      </c>
      <c r="L877" s="59"/>
      <c r="M877" s="59"/>
      <c r="N877" s="62" t="str">
        <f>IF(LEN(M877)&gt;0,IF(OR(ISLOGICAL(M877),M877="TRUE"),"Yes",""),"")</f>
      </c>
      <c r="O877" s="59"/>
      <c r="P877" s="62" t="str">
        <f>IF(LEN(O877)&gt;0,IF(OR(ISLOGICAL(O877),O877="TRUE"),"Yes",""),"")</f>
      </c>
      <c r="Q877" s="62" t="s">
        <v>98</v>
      </c>
      <c r="R877" s="63"/>
    </row>
    <row r="878" spans="1:18" s="47" customFormat="1" ht="51">
      <c r="A878" s="63" t="s">
        <v>1830</v>
      </c>
      <c r="B878" s="63" t="s">
        <v>96</v>
      </c>
      <c r="C878" s="63" t="s">
        <v>1831</v>
      </c>
      <c r="D878" s="61"/>
      <c r="E878" s="45">
        <v>0.121</v>
      </c>
      <c r="F878" s="45">
        <v>0.121</v>
      </c>
      <c r="G878" s="66">
        <v>46078</v>
      </c>
      <c r="H878" s="45" t="str">
        <f>IF(ISNUMBER(E878),F878-E878,"N/A")</f>
        <v>N/A</v>
      </c>
      <c r="I878" s="46" t="str">
        <f>IF(E878&lt;&gt;"",IF(F878=E878,"No Change",IF(F878&gt;E878,"Increase","Decrease")),"New")</f>
        <v>Increase</v>
      </c>
      <c r="J878" s="58"/>
      <c r="K878" s="59" t="str">
        <f>IF(LEN(J878)&gt;0,IF(OR(ISLOGICAL(J878),J878="TRUE"),"Yes",""),"")</f>
      </c>
      <c r="L878" s="59"/>
      <c r="M878" s="59"/>
      <c r="N878" s="62" t="str">
        <f>IF(LEN(M878)&gt;0,IF(OR(ISLOGICAL(M878),M878="TRUE"),"Yes",""),"")</f>
      </c>
      <c r="O878" s="59"/>
      <c r="P878" s="62" t="str">
        <f>IF(LEN(O878)&gt;0,IF(OR(ISLOGICAL(O878),O878="TRUE"),"Yes",""),"")</f>
      </c>
      <c r="Q878" s="62" t="s">
        <v>104</v>
      </c>
      <c r="R878" s="63"/>
    </row>
    <row r="879" spans="1:18" s="47" customFormat="1" ht="51">
      <c r="A879" s="63" t="s">
        <v>1832</v>
      </c>
      <c r="B879" s="63" t="s">
        <v>96</v>
      </c>
      <c r="C879" s="63" t="s">
        <v>1833</v>
      </c>
      <c r="D879" s="61"/>
      <c r="E879" s="45">
        <v>0.107</v>
      </c>
      <c r="F879" s="45">
        <v>0.107</v>
      </c>
      <c r="G879" s="66">
        <v>46078</v>
      </c>
      <c r="H879" s="45" t="str">
        <f>IF(ISNUMBER(E879),F879-E879,"N/A")</f>
        <v>N/A</v>
      </c>
      <c r="I879" s="46" t="str">
        <f>IF(E879&lt;&gt;"",IF(F879=E879,"No Change",IF(F879&gt;E879,"Increase","Decrease")),"New")</f>
        <v>Increase</v>
      </c>
      <c r="J879" s="58" t="s">
        <v>122</v>
      </c>
      <c r="K879" s="59" t="str">
        <f>IF(LEN(J879)&gt;0,IF(OR(ISLOGICAL(J879),J879="TRUE"),"Yes",""),"")</f>
      </c>
      <c r="L879" s="59"/>
      <c r="M879" s="59"/>
      <c r="N879" s="62" t="str">
        <f>IF(LEN(M879)&gt;0,IF(OR(ISLOGICAL(M879),M879="TRUE"),"Yes",""),"")</f>
      </c>
      <c r="O879" s="59"/>
      <c r="P879" s="62" t="str">
        <f>IF(LEN(O879)&gt;0,IF(OR(ISLOGICAL(O879),O879="TRUE"),"Yes",""),"")</f>
      </c>
      <c r="Q879" s="62" t="s">
        <v>104</v>
      </c>
      <c r="R879" s="63"/>
    </row>
    <row r="880" spans="1:18" s="47" customFormat="1" ht="51">
      <c r="A880" s="63" t="s">
        <v>1834</v>
      </c>
      <c r="B880" s="63" t="s">
        <v>96</v>
      </c>
      <c r="C880" s="63" t="s">
        <v>1835</v>
      </c>
      <c r="D880" s="61"/>
      <c r="E880" s="45">
        <v>0.0453</v>
      </c>
      <c r="F880" s="45">
        <v>0.0453</v>
      </c>
      <c r="G880" s="66">
        <v>46143</v>
      </c>
      <c r="H880" s="45" t="str">
        <f>IF(ISNUMBER(E880),F880-E880,"N/A")</f>
        <v>N/A</v>
      </c>
      <c r="I880" s="46" t="str">
        <f>IF(E880&lt;&gt;"",IF(F880=E880,"No Change",IF(F880&gt;E880,"Increase","Decrease")),"New")</f>
        <v>Increase</v>
      </c>
      <c r="J880" s="58"/>
      <c r="K880" s="59" t="str">
        <f>IF(LEN(J880)&gt;0,IF(OR(ISLOGICAL(J880),J880="TRUE"),"Yes",""),"")</f>
      </c>
      <c r="L880" s="59"/>
      <c r="M880" s="59"/>
      <c r="N880" s="62" t="str">
        <f>IF(LEN(M880)&gt;0,IF(OR(ISLOGICAL(M880),M880="TRUE"),"Yes",""),"")</f>
      </c>
      <c r="O880" s="59"/>
      <c r="P880" s="62" t="str">
        <f>IF(LEN(O880)&gt;0,IF(OR(ISLOGICAL(O880),O880="TRUE"),"Yes",""),"")</f>
      </c>
      <c r="Q880" s="62" t="s">
        <v>98</v>
      </c>
      <c r="R880" s="63"/>
    </row>
    <row r="881" spans="1:18" s="47" customFormat="1" ht="51">
      <c r="A881" s="63" t="s">
        <v>1836</v>
      </c>
      <c r="B881" s="63" t="s">
        <v>96</v>
      </c>
      <c r="C881" s="63" t="s">
        <v>1837</v>
      </c>
      <c r="D881" s="61"/>
      <c r="E881" s="45">
        <v>0.0655</v>
      </c>
      <c r="F881" s="45">
        <v>0.0655</v>
      </c>
      <c r="G881" s="66">
        <v>46082</v>
      </c>
      <c r="H881" s="45" t="str">
        <f>IF(ISNUMBER(E881),F881-E881,"N/A")</f>
        <v>N/A</v>
      </c>
      <c r="I881" s="46" t="str">
        <f>IF(E881&lt;&gt;"",IF(F881=E881,"No Change",IF(F881&gt;E881,"Increase","Decrease")),"New")</f>
        <v>Increase</v>
      </c>
      <c r="J881" s="58"/>
      <c r="K881" s="59" t="str">
        <f>IF(LEN(J881)&gt;0,IF(OR(ISLOGICAL(J881),J881="TRUE"),"Yes",""),"")</f>
      </c>
      <c r="L881" s="59"/>
      <c r="M881" s="59"/>
      <c r="N881" s="62" t="str">
        <f>IF(LEN(M881)&gt;0,IF(OR(ISLOGICAL(M881),M881="TRUE"),"Yes",""),"")</f>
      </c>
      <c r="O881" s="59"/>
      <c r="P881" s="62" t="str">
        <f>IF(LEN(O881)&gt;0,IF(OR(ISLOGICAL(O881),O881="TRUE"),"Yes",""),"")</f>
      </c>
      <c r="Q881" s="62" t="s">
        <v>98</v>
      </c>
      <c r="R881" s="63"/>
    </row>
    <row r="882" spans="1:18" s="47" customFormat="1" ht="51">
      <c r="A882" s="63" t="s">
        <v>1838</v>
      </c>
      <c r="B882" s="63" t="s">
        <v>96</v>
      </c>
      <c r="C882" s="63" t="s">
        <v>1839</v>
      </c>
      <c r="D882" s="61"/>
      <c r="E882" s="45">
        <v>0.0655</v>
      </c>
      <c r="F882" s="45">
        <v>0.0655</v>
      </c>
      <c r="G882" s="66">
        <v>46143</v>
      </c>
      <c r="H882" s="45" t="str">
        <f>IF(ISNUMBER(E882),F882-E882,"N/A")</f>
        <v>N/A</v>
      </c>
      <c r="I882" s="46" t="str">
        <f>IF(E882&lt;&gt;"",IF(F882=E882,"No Change",IF(F882&gt;E882,"Increase","Decrease")),"New")</f>
        <v>Increase</v>
      </c>
      <c r="J882" s="58" t="s">
        <v>122</v>
      </c>
      <c r="K882" s="59" t="str">
        <f>IF(LEN(J882)&gt;0,IF(OR(ISLOGICAL(J882),J882="TRUE"),"Yes",""),"")</f>
      </c>
      <c r="L882" s="59"/>
      <c r="M882" s="59"/>
      <c r="N882" s="62" t="str">
        <f>IF(LEN(M882)&gt;0,IF(OR(ISLOGICAL(M882),M882="TRUE"),"Yes",""),"")</f>
      </c>
      <c r="O882" s="59"/>
      <c r="P882" s="62" t="str">
        <f>IF(LEN(O882)&gt;0,IF(OR(ISLOGICAL(O882),O882="TRUE"),"Yes",""),"")</f>
      </c>
      <c r="Q882" s="62" t="s">
        <v>98</v>
      </c>
      <c r="R882" s="63"/>
    </row>
    <row r="883" spans="1:18" s="47" customFormat="1" ht="51">
      <c r="A883" s="63" t="s">
        <v>1840</v>
      </c>
      <c r="B883" s="63" t="s">
        <v>96</v>
      </c>
      <c r="C883" s="63" t="s">
        <v>1841</v>
      </c>
      <c r="D883" s="61"/>
      <c r="E883" s="45">
        <v>0.0655</v>
      </c>
      <c r="F883" s="45">
        <v>0.0655</v>
      </c>
      <c r="G883" s="66">
        <v>46143</v>
      </c>
      <c r="H883" s="45" t="str">
        <f>IF(ISNUMBER(E883),F883-E883,"N/A")</f>
        <v>N/A</v>
      </c>
      <c r="I883" s="46" t="str">
        <f>IF(E883&lt;&gt;"",IF(F883=E883,"No Change",IF(F883&gt;E883,"Increase","Decrease")),"New")</f>
        <v>Increase</v>
      </c>
      <c r="J883" s="58"/>
      <c r="K883" s="59" t="str">
        <f>IF(LEN(J883)&gt;0,IF(OR(ISLOGICAL(J883),J883="TRUE"),"Yes",""),"")</f>
      </c>
      <c r="L883" s="59"/>
      <c r="M883" s="59"/>
      <c r="N883" s="62" t="str">
        <f>IF(LEN(M883)&gt;0,IF(OR(ISLOGICAL(M883),M883="TRUE"),"Yes",""),"")</f>
      </c>
      <c r="O883" s="59"/>
      <c r="P883" s="62" t="str">
        <f>IF(LEN(O883)&gt;0,IF(OR(ISLOGICAL(O883),O883="TRUE"),"Yes",""),"")</f>
      </c>
      <c r="Q883" s="62" t="s">
        <v>98</v>
      </c>
      <c r="R883" s="63"/>
    </row>
    <row r="884" spans="1:18" s="47" customFormat="1" ht="51">
      <c r="A884" s="63" t="s">
        <v>1842</v>
      </c>
      <c r="B884" s="63" t="s">
        <v>96</v>
      </c>
      <c r="C884" s="63" t="s">
        <v>1843</v>
      </c>
      <c r="D884" s="61"/>
      <c r="E884" s="45">
        <v>0.0655</v>
      </c>
      <c r="F884" s="45">
        <v>0.0655</v>
      </c>
      <c r="G884" s="66">
        <v>46143</v>
      </c>
      <c r="H884" s="45" t="str">
        <f>IF(ISNUMBER(E884),F884-E884,"N/A")</f>
        <v>N/A</v>
      </c>
      <c r="I884" s="46" t="str">
        <f>IF(E884&lt;&gt;"",IF(F884=E884,"No Change",IF(F884&gt;E884,"Increase","Decrease")),"New")</f>
        <v>Increase</v>
      </c>
      <c r="J884" s="58" t="s">
        <v>122</v>
      </c>
      <c r="K884" s="59" t="str">
        <f>IF(LEN(J884)&gt;0,IF(OR(ISLOGICAL(J884),J884="TRUE"),"Yes",""),"")</f>
      </c>
      <c r="L884" s="59"/>
      <c r="M884" s="59"/>
      <c r="N884" s="62" t="str">
        <f>IF(LEN(M884)&gt;0,IF(OR(ISLOGICAL(M884),M884="TRUE"),"Yes",""),"")</f>
      </c>
      <c r="O884" s="59"/>
      <c r="P884" s="62" t="str">
        <f>IF(LEN(O884)&gt;0,IF(OR(ISLOGICAL(O884),O884="TRUE"),"Yes",""),"")</f>
      </c>
      <c r="Q884" s="62" t="s">
        <v>98</v>
      </c>
      <c r="R884" s="63"/>
    </row>
    <row r="885" spans="1:18" s="47" customFormat="1" ht="51">
      <c r="A885" s="63" t="s">
        <v>1844</v>
      </c>
      <c r="B885" s="63" t="s">
        <v>96</v>
      </c>
      <c r="C885" s="63" t="s">
        <v>1845</v>
      </c>
      <c r="D885" s="61"/>
      <c r="E885" s="45">
        <v>0.0655</v>
      </c>
      <c r="F885" s="45">
        <v>0.0655</v>
      </c>
      <c r="G885" s="66">
        <v>46143</v>
      </c>
      <c r="H885" s="45" t="str">
        <f>IF(ISNUMBER(E885),F885-E885,"N/A")</f>
        <v>N/A</v>
      </c>
      <c r="I885" s="46" t="str">
        <f>IF(E885&lt;&gt;"",IF(F885=E885,"No Change",IF(F885&gt;E885,"Increase","Decrease")),"New")</f>
        <v>Increase</v>
      </c>
      <c r="J885" s="58" t="s">
        <v>122</v>
      </c>
      <c r="K885" s="59" t="str">
        <f>IF(LEN(J885)&gt;0,IF(OR(ISLOGICAL(J885),J885="TRUE"),"Yes",""),"")</f>
      </c>
      <c r="L885" s="59"/>
      <c r="M885" s="59"/>
      <c r="N885" s="62" t="str">
        <f>IF(LEN(M885)&gt;0,IF(OR(ISLOGICAL(M885),M885="TRUE"),"Yes",""),"")</f>
      </c>
      <c r="O885" s="59"/>
      <c r="P885" s="62" t="str">
        <f>IF(LEN(O885)&gt;0,IF(OR(ISLOGICAL(O885),O885="TRUE"),"Yes",""),"")</f>
      </c>
      <c r="Q885" s="62" t="s">
        <v>98</v>
      </c>
      <c r="R885" s="63"/>
    </row>
    <row r="886" spans="1:18" s="47" customFormat="1" ht="51">
      <c r="A886" s="63" t="s">
        <v>1846</v>
      </c>
      <c r="B886" s="63" t="s">
        <v>96</v>
      </c>
      <c r="C886" s="63" t="s">
        <v>1847</v>
      </c>
      <c r="D886" s="61"/>
      <c r="E886" s="45">
        <v>0.0655</v>
      </c>
      <c r="F886" s="45">
        <v>0.0655</v>
      </c>
      <c r="G886" s="66">
        <v>46143</v>
      </c>
      <c r="H886" s="45" t="str">
        <f>IF(ISNUMBER(E886),F886-E886,"N/A")</f>
        <v>N/A</v>
      </c>
      <c r="I886" s="46" t="str">
        <f>IF(E886&lt;&gt;"",IF(F886=E886,"No Change",IF(F886&gt;E886,"Increase","Decrease")),"New")</f>
        <v>Increase</v>
      </c>
      <c r="J886" s="58" t="s">
        <v>122</v>
      </c>
      <c r="K886" s="59" t="str">
        <f>IF(LEN(J886)&gt;0,IF(OR(ISLOGICAL(J886),J886="TRUE"),"Yes",""),"")</f>
      </c>
      <c r="L886" s="59"/>
      <c r="M886" s="59"/>
      <c r="N886" s="62" t="str">
        <f>IF(LEN(M886)&gt;0,IF(OR(ISLOGICAL(M886),M886="TRUE"),"Yes",""),"")</f>
      </c>
      <c r="O886" s="59"/>
      <c r="P886" s="62" t="str">
        <f>IF(LEN(O886)&gt;0,IF(OR(ISLOGICAL(O886),O886="TRUE"),"Yes",""),"")</f>
      </c>
      <c r="Q886" s="62" t="s">
        <v>98</v>
      </c>
      <c r="R886" s="63"/>
    </row>
    <row r="887" spans="1:18" s="47" customFormat="1" ht="51">
      <c r="A887" s="63" t="s">
        <v>1848</v>
      </c>
      <c r="B887" s="63" t="s">
        <v>96</v>
      </c>
      <c r="C887" s="63" t="s">
        <v>1849</v>
      </c>
      <c r="D887" s="61"/>
      <c r="E887" s="45">
        <v>0.0195</v>
      </c>
      <c r="F887" s="45">
        <v>0.0195</v>
      </c>
      <c r="G887" s="66">
        <v>46143</v>
      </c>
      <c r="H887" s="45" t="str">
        <f>IF(ISNUMBER(E887),F887-E887,"N/A")</f>
        <v>N/A</v>
      </c>
      <c r="I887" s="46" t="str">
        <f>IF(E887&lt;&gt;"",IF(F887=E887,"No Change",IF(F887&gt;E887,"Increase","Decrease")),"New")</f>
        <v>Increase</v>
      </c>
      <c r="J887" s="58"/>
      <c r="K887" s="59" t="str">
        <f>IF(LEN(J887)&gt;0,IF(OR(ISLOGICAL(J887),J887="TRUE"),"Yes",""),"")</f>
      </c>
      <c r="L887" s="59"/>
      <c r="M887" s="59"/>
      <c r="N887" s="62" t="str">
        <f>IF(LEN(M887)&gt;0,IF(OR(ISLOGICAL(M887),M887="TRUE"),"Yes",""),"")</f>
      </c>
      <c r="O887" s="59"/>
      <c r="P887" s="62" t="str">
        <f>IF(LEN(O887)&gt;0,IF(OR(ISLOGICAL(O887),O887="TRUE"),"Yes",""),"")</f>
      </c>
      <c r="Q887" s="62" t="s">
        <v>98</v>
      </c>
      <c r="R887" s="63"/>
    </row>
    <row r="888" spans="1:18" s="47" customFormat="1" ht="51">
      <c r="A888" s="63" t="s">
        <v>1850</v>
      </c>
      <c r="B888" s="63" t="s">
        <v>96</v>
      </c>
      <c r="C888" s="63" t="s">
        <v>1851</v>
      </c>
      <c r="D888" s="61"/>
      <c r="E888" s="45">
        <v>0.418</v>
      </c>
      <c r="F888" s="45">
        <v>0.418</v>
      </c>
      <c r="G888" s="66">
        <v>46082</v>
      </c>
      <c r="H888" s="45" t="str">
        <f>IF(ISNUMBER(E888),F888-E888,"N/A")</f>
        <v>N/A</v>
      </c>
      <c r="I888" s="46" t="str">
        <f>IF(E888&lt;&gt;"",IF(F888=E888,"No Change",IF(F888&gt;E888,"Increase","Decrease")),"New")</f>
        <v>Increase</v>
      </c>
      <c r="J888" s="58"/>
      <c r="K888" s="59" t="str">
        <f>IF(LEN(J888)&gt;0,IF(OR(ISLOGICAL(J888),J888="TRUE"),"Yes",""),"")</f>
      </c>
      <c r="L888" s="59"/>
      <c r="M888" s="59"/>
      <c r="N888" s="62" t="str">
        <f>IF(LEN(M888)&gt;0,IF(OR(ISLOGICAL(M888),M888="TRUE"),"Yes",""),"")</f>
      </c>
      <c r="O888" s="59"/>
      <c r="P888" s="62" t="str">
        <f>IF(LEN(O888)&gt;0,IF(OR(ISLOGICAL(O888),O888="TRUE"),"Yes",""),"")</f>
      </c>
      <c r="Q888" s="62" t="s">
        <v>98</v>
      </c>
      <c r="R888" s="63"/>
    </row>
    <row r="889" spans="1:18" s="47" customFormat="1" ht="51">
      <c r="A889" s="63" t="s">
        <v>1852</v>
      </c>
      <c r="B889" s="63" t="s">
        <v>96</v>
      </c>
      <c r="C889" s="63" t="s">
        <v>1853</v>
      </c>
      <c r="D889" s="61"/>
      <c r="E889" s="45">
        <v>0.418</v>
      </c>
      <c r="F889" s="45">
        <v>0.418</v>
      </c>
      <c r="G889" s="66">
        <v>46082</v>
      </c>
      <c r="H889" s="45" t="str">
        <f>IF(ISNUMBER(E889),F889-E889,"N/A")</f>
        <v>N/A</v>
      </c>
      <c r="I889" s="46" t="str">
        <f>IF(E889&lt;&gt;"",IF(F889=E889,"No Change",IF(F889&gt;E889,"Increase","Decrease")),"New")</f>
        <v>Increase</v>
      </c>
      <c r="J889" s="58"/>
      <c r="K889" s="59" t="str">
        <f>IF(LEN(J889)&gt;0,IF(OR(ISLOGICAL(J889),J889="TRUE"),"Yes",""),"")</f>
      </c>
      <c r="L889" s="59"/>
      <c r="M889" s="59"/>
      <c r="N889" s="62" t="str">
        <f>IF(LEN(M889)&gt;0,IF(OR(ISLOGICAL(M889),M889="TRUE"),"Yes",""),"")</f>
      </c>
      <c r="O889" s="59"/>
      <c r="P889" s="62" t="str">
        <f>IF(LEN(O889)&gt;0,IF(OR(ISLOGICAL(O889),O889="TRUE"),"Yes",""),"")</f>
      </c>
      <c r="Q889" s="62" t="s">
        <v>98</v>
      </c>
      <c r="R889" s="63"/>
    </row>
    <row r="890" spans="1:18" s="47" customFormat="1" ht="51">
      <c r="A890" s="63" t="s">
        <v>1854</v>
      </c>
      <c r="B890" s="63" t="s">
        <v>96</v>
      </c>
      <c r="C890" s="63" t="s">
        <v>1855</v>
      </c>
      <c r="D890" s="61"/>
      <c r="E890" s="45">
        <v>0.418</v>
      </c>
      <c r="F890" s="45">
        <v>0.418</v>
      </c>
      <c r="G890" s="66">
        <v>46085</v>
      </c>
      <c r="H890" s="45" t="str">
        <f>IF(ISNUMBER(E890),F890-E890,"N/A")</f>
        <v>N/A</v>
      </c>
      <c r="I890" s="46" t="str">
        <f>IF(E890&lt;&gt;"",IF(F890=E890,"No Change",IF(F890&gt;E890,"Increase","Decrease")),"New")</f>
        <v>Increase</v>
      </c>
      <c r="J890" s="58" t="s">
        <v>122</v>
      </c>
      <c r="K890" s="59" t="str">
        <f>IF(LEN(J890)&gt;0,IF(OR(ISLOGICAL(J890),J890="TRUE"),"Yes",""),"")</f>
      </c>
      <c r="L890" s="59"/>
      <c r="M890" s="59"/>
      <c r="N890" s="62" t="str">
        <f>IF(LEN(M890)&gt;0,IF(OR(ISLOGICAL(M890),M890="TRUE"),"Yes",""),"")</f>
      </c>
      <c r="O890" s="59"/>
      <c r="P890" s="62" t="str">
        <f>IF(LEN(O890)&gt;0,IF(OR(ISLOGICAL(O890),O890="TRUE"),"Yes",""),"")</f>
      </c>
      <c r="Q890" s="62" t="s">
        <v>98</v>
      </c>
      <c r="R890" s="63"/>
    </row>
    <row r="891" spans="1:18" s="47" customFormat="1" ht="51">
      <c r="A891" s="63" t="s">
        <v>1856</v>
      </c>
      <c r="B891" s="63" t="s">
        <v>96</v>
      </c>
      <c r="C891" s="63" t="s">
        <v>1857</v>
      </c>
      <c r="D891" s="61"/>
      <c r="E891" s="45">
        <v>0.418</v>
      </c>
      <c r="F891" s="45">
        <v>0.418</v>
      </c>
      <c r="G891" s="66">
        <v>46085</v>
      </c>
      <c r="H891" s="45" t="str">
        <f>IF(ISNUMBER(E891),F891-E891,"N/A")</f>
        <v>N/A</v>
      </c>
      <c r="I891" s="46" t="str">
        <f>IF(E891&lt;&gt;"",IF(F891=E891,"No Change",IF(F891&gt;E891,"Increase","Decrease")),"New")</f>
        <v>Increase</v>
      </c>
      <c r="J891" s="58" t="s">
        <v>122</v>
      </c>
      <c r="K891" s="59" t="str">
        <f>IF(LEN(J891)&gt;0,IF(OR(ISLOGICAL(J891),J891="TRUE"),"Yes",""),"")</f>
      </c>
      <c r="L891" s="59"/>
      <c r="M891" s="59"/>
      <c r="N891" s="62" t="str">
        <f>IF(LEN(M891)&gt;0,IF(OR(ISLOGICAL(M891),M891="TRUE"),"Yes",""),"")</f>
      </c>
      <c r="O891" s="59"/>
      <c r="P891" s="62" t="str">
        <f>IF(LEN(O891)&gt;0,IF(OR(ISLOGICAL(O891),O891="TRUE"),"Yes",""),"")</f>
      </c>
      <c r="Q891" s="62" t="s">
        <v>98</v>
      </c>
      <c r="R891" s="63"/>
    </row>
    <row r="892" spans="1:18" s="47" customFormat="1" ht="51">
      <c r="A892" s="63" t="s">
        <v>1858</v>
      </c>
      <c r="B892" s="63" t="s">
        <v>96</v>
      </c>
      <c r="C892" s="63" t="s">
        <v>1859</v>
      </c>
      <c r="D892" s="61"/>
      <c r="E892" s="45">
        <v>0.0015</v>
      </c>
      <c r="F892" s="45">
        <v>0.0015</v>
      </c>
      <c r="G892" s="66">
        <v>46092</v>
      </c>
      <c r="H892" s="45" t="str">
        <f>IF(ISNUMBER(E892),F892-E892,"N/A")</f>
        <v>N/A</v>
      </c>
      <c r="I892" s="46" t="str">
        <f>IF(E892&lt;&gt;"",IF(F892=E892,"No Change",IF(F892&gt;E892,"Increase","Decrease")),"New")</f>
        <v>Increase</v>
      </c>
      <c r="J892" s="58"/>
      <c r="K892" s="59" t="str">
        <f>IF(LEN(J892)&gt;0,IF(OR(ISLOGICAL(J892),J892="TRUE"),"Yes",""),"")</f>
      </c>
      <c r="L892" s="59"/>
      <c r="M892" s="59"/>
      <c r="N892" s="62" t="str">
        <f>IF(LEN(M892)&gt;0,IF(OR(ISLOGICAL(M892),M892="TRUE"),"Yes",""),"")</f>
      </c>
      <c r="O892" s="59"/>
      <c r="P892" s="62" t="str">
        <f>IF(LEN(O892)&gt;0,IF(OR(ISLOGICAL(O892),O892="TRUE"),"Yes",""),"")</f>
      </c>
      <c r="Q892" s="62" t="s">
        <v>98</v>
      </c>
      <c r="R892" s="63"/>
    </row>
    <row r="893" spans="1:18" s="47" customFormat="1" ht="51">
      <c r="A893" s="63" t="s">
        <v>1860</v>
      </c>
      <c r="B893" s="63" t="s">
        <v>96</v>
      </c>
      <c r="C893" s="63" t="s">
        <v>1861</v>
      </c>
      <c r="D893" s="61"/>
      <c r="E893" s="45">
        <v>0.132</v>
      </c>
      <c r="F893" s="45">
        <v>0.132</v>
      </c>
      <c r="G893" s="66">
        <v>46085</v>
      </c>
      <c r="H893" s="45" t="str">
        <f>IF(ISNUMBER(E893),F893-E893,"N/A")</f>
        <v>N/A</v>
      </c>
      <c r="I893" s="46" t="str">
        <f>IF(E893&lt;&gt;"",IF(F893=E893,"No Change",IF(F893&gt;E893,"Increase","Decrease")),"New")</f>
        <v>Increase</v>
      </c>
      <c r="J893" s="58"/>
      <c r="K893" s="59" t="str">
        <f>IF(LEN(J893)&gt;0,IF(OR(ISLOGICAL(J893),J893="TRUE"),"Yes",""),"")</f>
      </c>
      <c r="L893" s="59"/>
      <c r="M893" s="59"/>
      <c r="N893" s="62" t="str">
        <f>IF(LEN(M893)&gt;0,IF(OR(ISLOGICAL(M893),M893="TRUE"),"Yes",""),"")</f>
      </c>
      <c r="O893" s="59"/>
      <c r="P893" s="62" t="str">
        <f>IF(LEN(O893)&gt;0,IF(OR(ISLOGICAL(O893),O893="TRUE"),"Yes",""),"")</f>
      </c>
      <c r="Q893" s="62" t="s">
        <v>109</v>
      </c>
      <c r="R893" s="63"/>
    </row>
    <row r="894" spans="1:18" s="47" customFormat="1" ht="51">
      <c r="A894" s="63" t="s">
        <v>1862</v>
      </c>
      <c r="B894" s="63" t="s">
        <v>96</v>
      </c>
      <c r="C894" s="63" t="s">
        <v>1863</v>
      </c>
      <c r="D894" s="61"/>
      <c r="E894" s="45">
        <v>0.12</v>
      </c>
      <c r="F894" s="45">
        <v>0.12</v>
      </c>
      <c r="G894" s="66">
        <v>46134</v>
      </c>
      <c r="H894" s="45" t="str">
        <f>IF(ISNUMBER(E894),F894-E894,"N/A")</f>
        <v>N/A</v>
      </c>
      <c r="I894" s="46" t="str">
        <f>IF(E894&lt;&gt;"",IF(F894=E894,"No Change",IF(F894&gt;E894,"Increase","Decrease")),"New")</f>
        <v>Increase</v>
      </c>
      <c r="J894" s="58" t="s">
        <v>122</v>
      </c>
      <c r="K894" s="59" t="str">
        <f>IF(LEN(J894)&gt;0,IF(OR(ISLOGICAL(J894),J894="TRUE"),"Yes",""),"")</f>
      </c>
      <c r="L894" s="59"/>
      <c r="M894" s="59"/>
      <c r="N894" s="62" t="str">
        <f>IF(LEN(M894)&gt;0,IF(OR(ISLOGICAL(M894),M894="TRUE"),"Yes",""),"")</f>
      </c>
      <c r="O894" s="59"/>
      <c r="P894" s="62" t="str">
        <f>IF(LEN(O894)&gt;0,IF(OR(ISLOGICAL(O894),O894="TRUE"),"Yes",""),"")</f>
      </c>
      <c r="Q894" s="62" t="s">
        <v>109</v>
      </c>
      <c r="R894" s="63"/>
    </row>
    <row r="895" spans="1:18" s="47" customFormat="1" ht="51">
      <c r="A895" s="63" t="s">
        <v>1864</v>
      </c>
      <c r="B895" s="63" t="s">
        <v>96</v>
      </c>
      <c r="C895" s="63" t="s">
        <v>1865</v>
      </c>
      <c r="D895" s="61"/>
      <c r="E895" s="45">
        <v>0.12</v>
      </c>
      <c r="F895" s="45">
        <v>0.12</v>
      </c>
      <c r="G895" s="66">
        <v>46134</v>
      </c>
      <c r="H895" s="45" t="str">
        <f>IF(ISNUMBER(E895),F895-E895,"N/A")</f>
        <v>N/A</v>
      </c>
      <c r="I895" s="46" t="str">
        <f>IF(E895&lt;&gt;"",IF(F895=E895,"No Change",IF(F895&gt;E895,"Increase","Decrease")),"New")</f>
        <v>Increase</v>
      </c>
      <c r="J895" s="58" t="s">
        <v>122</v>
      </c>
      <c r="K895" s="59" t="str">
        <f>IF(LEN(J895)&gt;0,IF(OR(ISLOGICAL(J895),J895="TRUE"),"Yes",""),"")</f>
      </c>
      <c r="L895" s="59"/>
      <c r="M895" s="59"/>
      <c r="N895" s="62" t="str">
        <f>IF(LEN(M895)&gt;0,IF(OR(ISLOGICAL(M895),M895="TRUE"),"Yes",""),"")</f>
      </c>
      <c r="O895" s="59"/>
      <c r="P895" s="62" t="str">
        <f>IF(LEN(O895)&gt;0,IF(OR(ISLOGICAL(O895),O895="TRUE"),"Yes",""),"")</f>
      </c>
      <c r="Q895" s="62" t="s">
        <v>109</v>
      </c>
      <c r="R895" s="63"/>
    </row>
    <row r="896" spans="1:18" s="47" customFormat="1" ht="51">
      <c r="A896" s="63" t="s">
        <v>1866</v>
      </c>
      <c r="B896" s="63" t="s">
        <v>96</v>
      </c>
      <c r="C896" s="63" t="s">
        <v>1867</v>
      </c>
      <c r="D896" s="61"/>
      <c r="E896" s="45">
        <v>0.027</v>
      </c>
      <c r="F896" s="45">
        <v>0.027</v>
      </c>
      <c r="G896" s="66">
        <v>46074</v>
      </c>
      <c r="H896" s="45" t="str">
        <f>IF(ISNUMBER(E896),F896-E896,"N/A")</f>
        <v>N/A</v>
      </c>
      <c r="I896" s="46" t="str">
        <f>IF(E896&lt;&gt;"",IF(F896=E896,"No Change",IF(F896&gt;E896,"Increase","Decrease")),"New")</f>
        <v>Increase</v>
      </c>
      <c r="J896" s="58"/>
      <c r="K896" s="59" t="str">
        <f>IF(LEN(J896)&gt;0,IF(OR(ISLOGICAL(J896),J896="TRUE"),"Yes",""),"")</f>
      </c>
      <c r="L896" s="59"/>
      <c r="M896" s="59"/>
      <c r="N896" s="62" t="str">
        <f>IF(LEN(M896)&gt;0,IF(OR(ISLOGICAL(M896),M896="TRUE"),"Yes",""),"")</f>
      </c>
      <c r="O896" s="59"/>
      <c r="P896" s="62" t="str">
        <f>IF(LEN(O896)&gt;0,IF(OR(ISLOGICAL(O896),O896="TRUE"),"Yes",""),"")</f>
      </c>
      <c r="Q896" s="62" t="s">
        <v>98</v>
      </c>
      <c r="R896" s="63"/>
    </row>
    <row r="897" spans="1:18" s="47" customFormat="1" ht="51">
      <c r="A897" s="63" t="s">
        <v>1868</v>
      </c>
      <c r="B897" s="63" t="s">
        <v>96</v>
      </c>
      <c r="C897" s="63" t="s">
        <v>1869</v>
      </c>
      <c r="D897" s="61"/>
      <c r="E897" s="45">
        <v>0.027</v>
      </c>
      <c r="F897" s="45">
        <v>0.027</v>
      </c>
      <c r="G897" s="66">
        <v>46082</v>
      </c>
      <c r="H897" s="45" t="str">
        <f>IF(ISNUMBER(E897),F897-E897,"N/A")</f>
        <v>N/A</v>
      </c>
      <c r="I897" s="46" t="str">
        <f>IF(E897&lt;&gt;"",IF(F897=E897,"No Change",IF(F897&gt;E897,"Increase","Decrease")),"New")</f>
        <v>Increase</v>
      </c>
      <c r="J897" s="58"/>
      <c r="K897" s="59" t="str">
        <f>IF(LEN(J897)&gt;0,IF(OR(ISLOGICAL(J897),J897="TRUE"),"Yes",""),"")</f>
      </c>
      <c r="L897" s="59"/>
      <c r="M897" s="59"/>
      <c r="N897" s="62" t="str">
        <f>IF(LEN(M897)&gt;0,IF(OR(ISLOGICAL(M897),M897="TRUE"),"Yes",""),"")</f>
      </c>
      <c r="O897" s="59"/>
      <c r="P897" s="62" t="str">
        <f>IF(LEN(O897)&gt;0,IF(OR(ISLOGICAL(O897),O897="TRUE"),"Yes",""),"")</f>
      </c>
      <c r="Q897" s="62" t="s">
        <v>98</v>
      </c>
      <c r="R897" s="63"/>
    </row>
    <row r="898" spans="1:18" s="47" customFormat="1" ht="51">
      <c r="A898" s="63" t="s">
        <v>1870</v>
      </c>
      <c r="B898" s="63" t="s">
        <v>96</v>
      </c>
      <c r="C898" s="63" t="s">
        <v>1871</v>
      </c>
      <c r="D898" s="61"/>
      <c r="E898" s="45">
        <v>0.027</v>
      </c>
      <c r="F898" s="45">
        <v>0.027</v>
      </c>
      <c r="G898" s="66">
        <v>46082</v>
      </c>
      <c r="H898" s="45" t="str">
        <f>IF(ISNUMBER(E898),F898-E898,"N/A")</f>
        <v>N/A</v>
      </c>
      <c r="I898" s="46" t="str">
        <f>IF(E898&lt;&gt;"",IF(F898=E898,"No Change",IF(F898&gt;E898,"Increase","Decrease")),"New")</f>
        <v>Increase</v>
      </c>
      <c r="J898" s="58"/>
      <c r="K898" s="59" t="str">
        <f>IF(LEN(J898)&gt;0,IF(OR(ISLOGICAL(J898),J898="TRUE"),"Yes",""),"")</f>
      </c>
      <c r="L898" s="59"/>
      <c r="M898" s="59"/>
      <c r="N898" s="62" t="str">
        <f>IF(LEN(M898)&gt;0,IF(OR(ISLOGICAL(M898),M898="TRUE"),"Yes",""),"")</f>
      </c>
      <c r="O898" s="59"/>
      <c r="P898" s="62" t="str">
        <f>IF(LEN(O898)&gt;0,IF(OR(ISLOGICAL(O898),O898="TRUE"),"Yes",""),"")</f>
      </c>
      <c r="Q898" s="62" t="s">
        <v>98</v>
      </c>
      <c r="R898" s="63"/>
    </row>
    <row r="899" spans="1:18" s="47" customFormat="1" ht="51">
      <c r="A899" s="63" t="s">
        <v>1872</v>
      </c>
      <c r="B899" s="63" t="s">
        <v>96</v>
      </c>
      <c r="C899" s="63" t="s">
        <v>1873</v>
      </c>
      <c r="D899" s="61"/>
      <c r="E899" s="45">
        <v>0.4395</v>
      </c>
      <c r="F899" s="45">
        <v>0.4395</v>
      </c>
      <c r="G899" s="66">
        <v>46120</v>
      </c>
      <c r="H899" s="45" t="str">
        <f>IF(ISNUMBER(E899),F899-E899,"N/A")</f>
        <v>N/A</v>
      </c>
      <c r="I899" s="46" t="str">
        <f>IF(E899&lt;&gt;"",IF(F899=E899,"No Change",IF(F899&gt;E899,"Increase","Decrease")),"New")</f>
        <v>Increase</v>
      </c>
      <c r="J899" s="58"/>
      <c r="K899" s="59" t="str">
        <f>IF(LEN(J899)&gt;0,IF(OR(ISLOGICAL(J899),J899="TRUE"),"Yes",""),"")</f>
      </c>
      <c r="L899" s="59"/>
      <c r="M899" s="59"/>
      <c r="N899" s="62" t="str">
        <f>IF(LEN(M899)&gt;0,IF(OR(ISLOGICAL(M899),M899="TRUE"),"Yes",""),"")</f>
      </c>
      <c r="O899" s="59"/>
      <c r="P899" s="62" t="str">
        <f>IF(LEN(O899)&gt;0,IF(OR(ISLOGICAL(O899),O899="TRUE"),"Yes",""),"")</f>
      </c>
      <c r="Q899" s="62" t="s">
        <v>98</v>
      </c>
      <c r="R899" s="63"/>
    </row>
    <row r="900" spans="1:18" s="47" customFormat="1" ht="51">
      <c r="A900" s="63" t="s">
        <v>1874</v>
      </c>
      <c r="B900" s="63" t="s">
        <v>96</v>
      </c>
      <c r="C900" s="63" t="s">
        <v>1875</v>
      </c>
      <c r="D900" s="61"/>
      <c r="E900" s="45">
        <v>0.4395</v>
      </c>
      <c r="F900" s="45">
        <v>0.4395</v>
      </c>
      <c r="G900" s="66">
        <v>46120</v>
      </c>
      <c r="H900" s="45" t="str">
        <f>IF(ISNUMBER(E900),F900-E900,"N/A")</f>
        <v>N/A</v>
      </c>
      <c r="I900" s="46" t="str">
        <f>IF(E900&lt;&gt;"",IF(F900=E900,"No Change",IF(F900&gt;E900,"Increase","Decrease")),"New")</f>
        <v>Increase</v>
      </c>
      <c r="J900" s="58"/>
      <c r="K900" s="59" t="str">
        <f>IF(LEN(J900)&gt;0,IF(OR(ISLOGICAL(J900),J900="TRUE"),"Yes",""),"")</f>
      </c>
      <c r="L900" s="59"/>
      <c r="M900" s="59"/>
      <c r="N900" s="62" t="str">
        <f>IF(LEN(M900)&gt;0,IF(OR(ISLOGICAL(M900),M900="TRUE"),"Yes",""),"")</f>
      </c>
      <c r="O900" s="59"/>
      <c r="P900" s="62" t="str">
        <f>IF(LEN(O900)&gt;0,IF(OR(ISLOGICAL(O900),O900="TRUE"),"Yes",""),"")</f>
      </c>
      <c r="Q900" s="62" t="s">
        <v>98</v>
      </c>
      <c r="R900" s="63"/>
    </row>
    <row r="901" spans="1:18" s="47" customFormat="1" ht="51">
      <c r="A901" s="63" t="s">
        <v>1876</v>
      </c>
      <c r="B901" s="63" t="s">
        <v>96</v>
      </c>
      <c r="C901" s="63" t="s">
        <v>1877</v>
      </c>
      <c r="D901" s="61"/>
      <c r="E901" s="45">
        <v>0.4395</v>
      </c>
      <c r="F901" s="45">
        <v>0.4395</v>
      </c>
      <c r="G901" s="66">
        <v>46120</v>
      </c>
      <c r="H901" s="45" t="str">
        <f>IF(ISNUMBER(E901),F901-E901,"N/A")</f>
        <v>N/A</v>
      </c>
      <c r="I901" s="46" t="str">
        <f>IF(E901&lt;&gt;"",IF(F901=E901,"No Change",IF(F901&gt;E901,"Increase","Decrease")),"New")</f>
        <v>Increase</v>
      </c>
      <c r="J901" s="58"/>
      <c r="K901" s="59" t="str">
        <f>IF(LEN(J901)&gt;0,IF(OR(ISLOGICAL(J901),J901="TRUE"),"Yes",""),"")</f>
      </c>
      <c r="L901" s="59"/>
      <c r="M901" s="59"/>
      <c r="N901" s="62" t="str">
        <f>IF(LEN(M901)&gt;0,IF(OR(ISLOGICAL(M901),M901="TRUE"),"Yes",""),"")</f>
      </c>
      <c r="O901" s="59"/>
      <c r="P901" s="62" t="str">
        <f>IF(LEN(O901)&gt;0,IF(OR(ISLOGICAL(O901),O901="TRUE"),"Yes",""),"")</f>
      </c>
      <c r="Q901" s="62" t="s">
        <v>98</v>
      </c>
      <c r="R901" s="63"/>
    </row>
    <row r="902" spans="1:18" s="47" customFormat="1" ht="51">
      <c r="A902" s="63" t="s">
        <v>1878</v>
      </c>
      <c r="B902" s="63" t="s">
        <v>96</v>
      </c>
      <c r="C902" s="63" t="s">
        <v>1879</v>
      </c>
      <c r="D902" s="61"/>
      <c r="E902" s="45">
        <v>0.0014</v>
      </c>
      <c r="F902" s="45">
        <v>0.06</v>
      </c>
      <c r="G902" s="66">
        <v>46148</v>
      </c>
      <c r="H902" s="45" t="str">
        <f>IF(ISNUMBER(E902),F902-E902,"N/A")</f>
        <v>N/A</v>
      </c>
      <c r="I902" s="46" t="str">
        <f>IF(E902&lt;&gt;"",IF(F902=E902,"No Change",IF(F902&gt;E902,"Increase","Decrease")),"New")</f>
        <v>Increase</v>
      </c>
      <c r="J902" s="58"/>
      <c r="K902" s="59" t="str">
        <f>IF(LEN(J902)&gt;0,IF(OR(ISLOGICAL(J902),J902="TRUE"),"Yes",""),"")</f>
      </c>
      <c r="L902" s="59"/>
      <c r="M902" s="59"/>
      <c r="N902" s="62" t="str">
        <f>IF(LEN(M902)&gt;0,IF(OR(ISLOGICAL(M902),M902="TRUE"),"Yes",""),"")</f>
      </c>
      <c r="O902" s="59"/>
      <c r="P902" s="62" t="str">
        <f>IF(LEN(O902)&gt;0,IF(OR(ISLOGICAL(O902),O902="TRUE"),"Yes",""),"")</f>
      </c>
      <c r="Q902" s="62" t="s">
        <v>98</v>
      </c>
      <c r="R902" s="63"/>
    </row>
    <row r="903" spans="1:18" s="47" customFormat="1" ht="51">
      <c r="A903" s="63" t="s">
        <v>1880</v>
      </c>
      <c r="B903" s="63" t="s">
        <v>96</v>
      </c>
      <c r="C903" s="63" t="s">
        <v>1881</v>
      </c>
      <c r="D903" s="61"/>
      <c r="E903" s="45">
        <v>0.0014</v>
      </c>
      <c r="F903" s="45">
        <v>0.06</v>
      </c>
      <c r="G903" s="66">
        <v>46148</v>
      </c>
      <c r="H903" s="45" t="str">
        <f>IF(ISNUMBER(E903),F903-E903,"N/A")</f>
        <v>N/A</v>
      </c>
      <c r="I903" s="46" t="str">
        <f>IF(E903&lt;&gt;"",IF(F903=E903,"No Change",IF(F903&gt;E903,"Increase","Decrease")),"New")</f>
        <v>Increase</v>
      </c>
      <c r="J903" s="58"/>
      <c r="K903" s="59" t="str">
        <f>IF(LEN(J903)&gt;0,IF(OR(ISLOGICAL(J903),J903="TRUE"),"Yes",""),"")</f>
      </c>
      <c r="L903" s="59"/>
      <c r="M903" s="59"/>
      <c r="N903" s="62" t="str">
        <f>IF(LEN(M903)&gt;0,IF(OR(ISLOGICAL(M903),M903="TRUE"),"Yes",""),"")</f>
      </c>
      <c r="O903" s="59"/>
      <c r="P903" s="62" t="str">
        <f>IF(LEN(O903)&gt;0,IF(OR(ISLOGICAL(O903),O903="TRUE"),"Yes",""),"")</f>
      </c>
      <c r="Q903" s="62" t="s">
        <v>98</v>
      </c>
      <c r="R903" s="63"/>
    </row>
    <row r="904" spans="1:18" s="47" customFormat="1" ht="51">
      <c r="A904" s="63" t="s">
        <v>1882</v>
      </c>
      <c r="B904" s="63" t="s">
        <v>96</v>
      </c>
      <c r="C904" s="63" t="s">
        <v>1883</v>
      </c>
      <c r="D904" s="61"/>
      <c r="E904" s="45">
        <v>0.0024</v>
      </c>
      <c r="F904" s="45">
        <v>0.06</v>
      </c>
      <c r="G904" s="66">
        <v>46148</v>
      </c>
      <c r="H904" s="45" t="str">
        <f>IF(ISNUMBER(E904),F904-E904,"N/A")</f>
        <v>N/A</v>
      </c>
      <c r="I904" s="46" t="str">
        <f>IF(E904&lt;&gt;"",IF(F904=E904,"No Change",IF(F904&gt;E904,"Increase","Decrease")),"New")</f>
        <v>Increase</v>
      </c>
      <c r="J904" s="58" t="s">
        <v>122</v>
      </c>
      <c r="K904" s="59" t="str">
        <f>IF(LEN(J904)&gt;0,IF(OR(ISLOGICAL(J904),J904="TRUE"),"Yes",""),"")</f>
      </c>
      <c r="L904" s="59"/>
      <c r="M904" s="59"/>
      <c r="N904" s="62" t="str">
        <f>IF(LEN(M904)&gt;0,IF(OR(ISLOGICAL(M904),M904="TRUE"),"Yes",""),"")</f>
      </c>
      <c r="O904" s="59"/>
      <c r="P904" s="62" t="str">
        <f>IF(LEN(O904)&gt;0,IF(OR(ISLOGICAL(O904),O904="TRUE"),"Yes",""),"")</f>
      </c>
      <c r="Q904" s="62" t="s">
        <v>98</v>
      </c>
      <c r="R904" s="63"/>
    </row>
    <row r="905" spans="1:18" s="47" customFormat="1" ht="51">
      <c r="A905" s="63" t="s">
        <v>1884</v>
      </c>
      <c r="B905" s="63" t="s">
        <v>96</v>
      </c>
      <c r="C905" s="63" t="s">
        <v>1885</v>
      </c>
      <c r="D905" s="61"/>
      <c r="E905" s="45">
        <v>0.0024</v>
      </c>
      <c r="F905" s="45">
        <v>0.06</v>
      </c>
      <c r="G905" s="66">
        <v>46148</v>
      </c>
      <c r="H905" s="45" t="str">
        <f>IF(ISNUMBER(E905),F905-E905,"N/A")</f>
        <v>N/A</v>
      </c>
      <c r="I905" s="46" t="str">
        <f>IF(E905&lt;&gt;"",IF(F905=E905,"No Change",IF(F905&gt;E905,"Increase","Decrease")),"New")</f>
        <v>Increase</v>
      </c>
      <c r="J905" s="58" t="s">
        <v>122</v>
      </c>
      <c r="K905" s="59" t="str">
        <f>IF(LEN(J905)&gt;0,IF(OR(ISLOGICAL(J905),J905="TRUE"),"Yes",""),"")</f>
      </c>
      <c r="L905" s="59"/>
      <c r="M905" s="59"/>
      <c r="N905" s="62" t="str">
        <f>IF(LEN(M905)&gt;0,IF(OR(ISLOGICAL(M905),M905="TRUE"),"Yes",""),"")</f>
      </c>
      <c r="O905" s="59"/>
      <c r="P905" s="62" t="str">
        <f>IF(LEN(O905)&gt;0,IF(OR(ISLOGICAL(O905),O905="TRUE"),"Yes",""),"")</f>
      </c>
      <c r="Q905" s="62" t="s">
        <v>98</v>
      </c>
      <c r="R905" s="63"/>
    </row>
    <row r="906" spans="1:18" s="47" customFormat="1" ht="51">
      <c r="A906" s="63" t="s">
        <v>1886</v>
      </c>
      <c r="B906" s="63" t="s">
        <v>96</v>
      </c>
      <c r="C906" s="63" t="s">
        <v>1887</v>
      </c>
      <c r="D906" s="61"/>
      <c r="E906" s="45">
        <v>0.0024</v>
      </c>
      <c r="F906" s="45">
        <v>0.06</v>
      </c>
      <c r="G906" s="66">
        <v>46148</v>
      </c>
      <c r="H906" s="45" t="str">
        <f>IF(ISNUMBER(E906),F906-E906,"N/A")</f>
        <v>N/A</v>
      </c>
      <c r="I906" s="46" t="str">
        <f>IF(E906&lt;&gt;"",IF(F906=E906,"No Change",IF(F906&gt;E906,"Increase","Decrease")),"New")</f>
        <v>Increase</v>
      </c>
      <c r="J906" s="58"/>
      <c r="K906" s="59" t="str">
        <f>IF(LEN(J906)&gt;0,IF(OR(ISLOGICAL(J906),J906="TRUE"),"Yes",""),"")</f>
      </c>
      <c r="L906" s="59"/>
      <c r="M906" s="59"/>
      <c r="N906" s="62" t="str">
        <f>IF(LEN(M906)&gt;0,IF(OR(ISLOGICAL(M906),M906="TRUE"),"Yes",""),"")</f>
      </c>
      <c r="O906" s="59"/>
      <c r="P906" s="62" t="str">
        <f>IF(LEN(O906)&gt;0,IF(OR(ISLOGICAL(O906),O906="TRUE"),"Yes",""),"")</f>
      </c>
      <c r="Q906" s="62" t="s">
        <v>98</v>
      </c>
      <c r="R906" s="63"/>
    </row>
    <row r="907" spans="1:18" s="47" customFormat="1" ht="51">
      <c r="A907" s="63" t="s">
        <v>1888</v>
      </c>
      <c r="B907" s="63" t="s">
        <v>96</v>
      </c>
      <c r="C907" s="63" t="s">
        <v>1889</v>
      </c>
      <c r="D907" s="61"/>
      <c r="E907" s="45">
        <v>0.0024</v>
      </c>
      <c r="F907" s="45">
        <v>0.06</v>
      </c>
      <c r="G907" s="66">
        <v>46148</v>
      </c>
      <c r="H907" s="45" t="str">
        <f>IF(ISNUMBER(E907),F907-E907,"N/A")</f>
        <v>N/A</v>
      </c>
      <c r="I907" s="46" t="str">
        <f>IF(E907&lt;&gt;"",IF(F907=E907,"No Change",IF(F907&gt;E907,"Increase","Decrease")),"New")</f>
        <v>Increase</v>
      </c>
      <c r="J907" s="58"/>
      <c r="K907" s="59" t="str">
        <f>IF(LEN(J907)&gt;0,IF(OR(ISLOGICAL(J907),J907="TRUE"),"Yes",""),"")</f>
      </c>
      <c r="L907" s="59"/>
      <c r="M907" s="59"/>
      <c r="N907" s="62" t="str">
        <f>IF(LEN(M907)&gt;0,IF(OR(ISLOGICAL(M907),M907="TRUE"),"Yes",""),"")</f>
      </c>
      <c r="O907" s="59"/>
      <c r="P907" s="62" t="str">
        <f>IF(LEN(O907)&gt;0,IF(OR(ISLOGICAL(O907),O907="TRUE"),"Yes",""),"")</f>
      </c>
      <c r="Q907" s="62" t="s">
        <v>98</v>
      </c>
      <c r="R907" s="63"/>
    </row>
    <row r="908" spans="1:18" s="47" customFormat="1" ht="51">
      <c r="A908" s="63" t="s">
        <v>1890</v>
      </c>
      <c r="B908" s="63" t="s">
        <v>96</v>
      </c>
      <c r="C908" s="63" t="s">
        <v>1891</v>
      </c>
      <c r="D908" s="61"/>
      <c r="E908" s="45">
        <v>0.0024</v>
      </c>
      <c r="F908" s="45">
        <v>0.06</v>
      </c>
      <c r="G908" s="66">
        <v>46148</v>
      </c>
      <c r="H908" s="45" t="str">
        <f>IF(ISNUMBER(E908),F908-E908,"N/A")</f>
        <v>N/A</v>
      </c>
      <c r="I908" s="46" t="str">
        <f>IF(E908&lt;&gt;"",IF(F908=E908,"No Change",IF(F908&gt;E908,"Increase","Decrease")),"New")</f>
        <v>Increase</v>
      </c>
      <c r="J908" s="58" t="s">
        <v>122</v>
      </c>
      <c r="K908" s="59" t="str">
        <f>IF(LEN(J908)&gt;0,IF(OR(ISLOGICAL(J908),J908="TRUE"),"Yes",""),"")</f>
      </c>
      <c r="L908" s="59"/>
      <c r="M908" s="59"/>
      <c r="N908" s="62" t="str">
        <f>IF(LEN(M908)&gt;0,IF(OR(ISLOGICAL(M908),M908="TRUE"),"Yes",""),"")</f>
      </c>
      <c r="O908" s="59"/>
      <c r="P908" s="62" t="str">
        <f>IF(LEN(O908)&gt;0,IF(OR(ISLOGICAL(O908),O908="TRUE"),"Yes",""),"")</f>
      </c>
      <c r="Q908" s="62" t="s">
        <v>98</v>
      </c>
      <c r="R908" s="63"/>
    </row>
    <row r="909" spans="1:18" s="47" customFormat="1" ht="51">
      <c r="A909" s="63" t="s">
        <v>1892</v>
      </c>
      <c r="B909" s="63" t="s">
        <v>96</v>
      </c>
      <c r="C909" s="63" t="s">
        <v>1893</v>
      </c>
      <c r="D909" s="61"/>
      <c r="E909" s="45">
        <v>0.0024</v>
      </c>
      <c r="F909" s="45">
        <v>0.06</v>
      </c>
      <c r="G909" s="66">
        <v>46148</v>
      </c>
      <c r="H909" s="45" t="str">
        <f>IF(ISNUMBER(E909),F909-E909,"N/A")</f>
        <v>N/A</v>
      </c>
      <c r="I909" s="46" t="str">
        <f>IF(E909&lt;&gt;"",IF(F909=E909,"No Change",IF(F909&gt;E909,"Increase","Decrease")),"New")</f>
        <v>Increase</v>
      </c>
      <c r="J909" s="58"/>
      <c r="K909" s="59" t="str">
        <f>IF(LEN(J909)&gt;0,IF(OR(ISLOGICAL(J909),J909="TRUE"),"Yes",""),"")</f>
      </c>
      <c r="L909" s="59"/>
      <c r="M909" s="59"/>
      <c r="N909" s="62" t="str">
        <f>IF(LEN(M909)&gt;0,IF(OR(ISLOGICAL(M909),M909="TRUE"),"Yes",""),"")</f>
      </c>
      <c r="O909" s="59"/>
      <c r="P909" s="62" t="str">
        <f>IF(LEN(O909)&gt;0,IF(OR(ISLOGICAL(O909),O909="TRUE"),"Yes",""),"")</f>
      </c>
      <c r="Q909" s="62" t="s">
        <v>98</v>
      </c>
      <c r="R909" s="63"/>
    </row>
    <row r="910" spans="1:18" s="47" customFormat="1" ht="51">
      <c r="A910" s="63" t="s">
        <v>1894</v>
      </c>
      <c r="B910" s="63" t="s">
        <v>96</v>
      </c>
      <c r="C910" s="63" t="s">
        <v>1895</v>
      </c>
      <c r="D910" s="61"/>
      <c r="E910" s="45">
        <v>0.09</v>
      </c>
      <c r="F910" s="45">
        <v>0.09</v>
      </c>
      <c r="G910" s="66">
        <v>46092</v>
      </c>
      <c r="H910" s="45" t="str">
        <f>IF(ISNUMBER(E910),F910-E910,"N/A")</f>
        <v>N/A</v>
      </c>
      <c r="I910" s="46" t="str">
        <f>IF(E910&lt;&gt;"",IF(F910=E910,"No Change",IF(F910&gt;E910,"Increase","Decrease")),"New")</f>
        <v>Increase</v>
      </c>
      <c r="J910" s="58"/>
      <c r="K910" s="59" t="str">
        <f>IF(LEN(J910)&gt;0,IF(OR(ISLOGICAL(J910),J910="TRUE"),"Yes",""),"")</f>
      </c>
      <c r="L910" s="59"/>
      <c r="M910" s="59"/>
      <c r="N910" s="62" t="str">
        <f>IF(LEN(M910)&gt;0,IF(OR(ISLOGICAL(M910),M910="TRUE"),"Yes",""),"")</f>
      </c>
      <c r="O910" s="59"/>
      <c r="P910" s="62" t="str">
        <f>IF(LEN(O910)&gt;0,IF(OR(ISLOGICAL(O910),O910="TRUE"),"Yes",""),"")</f>
      </c>
      <c r="Q910" s="62" t="s">
        <v>98</v>
      </c>
      <c r="R910" s="63"/>
    </row>
    <row r="911" spans="1:18" s="47" customFormat="1" ht="51">
      <c r="A911" s="63" t="s">
        <v>1896</v>
      </c>
      <c r="B911" s="63" t="s">
        <v>96</v>
      </c>
      <c r="C911" s="63" t="s">
        <v>1897</v>
      </c>
      <c r="D911" s="61"/>
      <c r="E911" s="45">
        <v>0.1975</v>
      </c>
      <c r="F911" s="45">
        <v>0.1975</v>
      </c>
      <c r="G911" s="66">
        <v>45553</v>
      </c>
      <c r="H911" s="45" t="str">
        <f>IF(ISNUMBER(E911),F911-E911,"N/A")</f>
        <v>N/A</v>
      </c>
      <c r="I911" s="46" t="str">
        <f>IF(E911&lt;&gt;"",IF(F911=E911,"No Change",IF(F911&gt;E911,"Increase","Decrease")),"New")</f>
        <v>Increase</v>
      </c>
      <c r="J911" s="58"/>
      <c r="K911" s="59" t="str">
        <f>IF(LEN(J911)&gt;0,IF(OR(ISLOGICAL(J911),J911="TRUE"),"Yes",""),"")</f>
      </c>
      <c r="L911" s="59"/>
      <c r="M911" s="59"/>
      <c r="N911" s="62" t="str">
        <f>IF(LEN(M911)&gt;0,IF(OR(ISLOGICAL(M911),M911="TRUE"),"Yes",""),"")</f>
      </c>
      <c r="O911" s="59"/>
      <c r="P911" s="62" t="str">
        <f>IF(LEN(O911)&gt;0,IF(OR(ISLOGICAL(O911),O911="TRUE"),"Yes",""),"")</f>
      </c>
      <c r="Q911" s="62" t="s">
        <v>98</v>
      </c>
      <c r="R911" s="63"/>
    </row>
    <row r="912" spans="1:18" s="47" customFormat="1" ht="51">
      <c r="A912" s="63" t="s">
        <v>1898</v>
      </c>
      <c r="B912" s="63" t="s">
        <v>96</v>
      </c>
      <c r="C912" s="63" t="s">
        <v>1899</v>
      </c>
      <c r="D912" s="61"/>
      <c r="E912" s="45">
        <v>0.0745</v>
      </c>
      <c r="F912" s="45">
        <v>0.0745</v>
      </c>
      <c r="G912" s="66">
        <v>46029</v>
      </c>
      <c r="H912" s="45" t="str">
        <f>IF(ISNUMBER(E912),F912-E912,"N/A")</f>
        <v>N/A</v>
      </c>
      <c r="I912" s="46" t="str">
        <f>IF(E912&lt;&gt;"",IF(F912=E912,"No Change",IF(F912&gt;E912,"Increase","Decrease")),"New")</f>
        <v>Increase</v>
      </c>
      <c r="J912" s="58"/>
      <c r="K912" s="59" t="str">
        <f>IF(LEN(J912)&gt;0,IF(OR(ISLOGICAL(J912),J912="TRUE"),"Yes",""),"")</f>
      </c>
      <c r="L912" s="59"/>
      <c r="M912" s="59"/>
      <c r="N912" s="62" t="str">
        <f>IF(LEN(M912)&gt;0,IF(OR(ISLOGICAL(M912),M912="TRUE"),"Yes",""),"")</f>
      </c>
      <c r="O912" s="59"/>
      <c r="P912" s="62" t="str">
        <f>IF(LEN(O912)&gt;0,IF(OR(ISLOGICAL(O912),O912="TRUE"),"Yes",""),"")</f>
      </c>
      <c r="Q912" s="62" t="s">
        <v>98</v>
      </c>
      <c r="R912" s="63"/>
    </row>
    <row r="913" spans="1:18" s="47" customFormat="1" ht="51">
      <c r="A913" s="63" t="s">
        <v>1900</v>
      </c>
      <c r="B913" s="63" t="s">
        <v>96</v>
      </c>
      <c r="C913" s="63" t="s">
        <v>1901</v>
      </c>
      <c r="D913" s="61"/>
      <c r="E913" s="45">
        <v>0.0745</v>
      </c>
      <c r="F913" s="45">
        <v>0.0745</v>
      </c>
      <c r="G913" s="66">
        <v>46029</v>
      </c>
      <c r="H913" s="45" t="str">
        <f>IF(ISNUMBER(E913),F913-E913,"N/A")</f>
        <v>N/A</v>
      </c>
      <c r="I913" s="46" t="str">
        <f>IF(E913&lt;&gt;"",IF(F913=E913,"No Change",IF(F913&gt;E913,"Increase","Decrease")),"New")</f>
        <v>Increase</v>
      </c>
      <c r="J913" s="58"/>
      <c r="K913" s="59" t="str">
        <f>IF(LEN(J913)&gt;0,IF(OR(ISLOGICAL(J913),J913="TRUE"),"Yes",""),"")</f>
      </c>
      <c r="L913" s="59"/>
      <c r="M913" s="59"/>
      <c r="N913" s="62" t="str">
        <f>IF(LEN(M913)&gt;0,IF(OR(ISLOGICAL(M913),M913="TRUE"),"Yes",""),"")</f>
      </c>
      <c r="O913" s="59"/>
      <c r="P913" s="62" t="str">
        <f>IF(LEN(O913)&gt;0,IF(OR(ISLOGICAL(O913),O913="TRUE"),"Yes",""),"")</f>
      </c>
      <c r="Q913" s="62" t="s">
        <v>98</v>
      </c>
      <c r="R913" s="63"/>
    </row>
    <row r="914" spans="1:18" s="47" customFormat="1" ht="51">
      <c r="A914" s="63" t="s">
        <v>1902</v>
      </c>
      <c r="B914" s="63" t="s">
        <v>96</v>
      </c>
      <c r="C914" s="63" t="s">
        <v>1903</v>
      </c>
      <c r="D914" s="61"/>
      <c r="E914" s="45">
        <v>0.0745</v>
      </c>
      <c r="F914" s="45">
        <v>0.0745</v>
      </c>
      <c r="G914" s="66">
        <v>46078</v>
      </c>
      <c r="H914" s="45" t="str">
        <f>IF(ISNUMBER(E914),F914-E914,"N/A")</f>
        <v>N/A</v>
      </c>
      <c r="I914" s="46" t="str">
        <f>IF(E914&lt;&gt;"",IF(F914=E914,"No Change",IF(F914&gt;E914,"Increase","Decrease")),"New")</f>
        <v>Increase</v>
      </c>
      <c r="J914" s="58"/>
      <c r="K914" s="59" t="str">
        <f>IF(LEN(J914)&gt;0,IF(OR(ISLOGICAL(J914),J914="TRUE"),"Yes",""),"")</f>
      </c>
      <c r="L914" s="59"/>
      <c r="M914" s="59"/>
      <c r="N914" s="62" t="str">
        <f>IF(LEN(M914)&gt;0,IF(OR(ISLOGICAL(M914),M914="TRUE"),"Yes",""),"")</f>
      </c>
      <c r="O914" s="59"/>
      <c r="P914" s="62" t="str">
        <f>IF(LEN(O914)&gt;0,IF(OR(ISLOGICAL(O914),O914="TRUE"),"Yes",""),"")</f>
      </c>
      <c r="Q914" s="62" t="s">
        <v>98</v>
      </c>
      <c r="R914" s="63"/>
    </row>
    <row r="915" spans="1:18" s="47" customFormat="1" ht="51">
      <c r="A915" s="63" t="s">
        <v>1904</v>
      </c>
      <c r="B915" s="63" t="s">
        <v>96</v>
      </c>
      <c r="C915" s="63" t="s">
        <v>1905</v>
      </c>
      <c r="D915" s="61"/>
      <c r="E915" s="45">
        <v>0.0745</v>
      </c>
      <c r="F915" s="45">
        <v>0.0745</v>
      </c>
      <c r="G915" s="66">
        <v>46078</v>
      </c>
      <c r="H915" s="45" t="str">
        <f>IF(ISNUMBER(E915),F915-E915,"N/A")</f>
        <v>N/A</v>
      </c>
      <c r="I915" s="46" t="str">
        <f>IF(E915&lt;&gt;"",IF(F915=E915,"No Change",IF(F915&gt;E915,"Increase","Decrease")),"New")</f>
        <v>Increase</v>
      </c>
      <c r="J915" s="58"/>
      <c r="K915" s="59" t="str">
        <f>IF(LEN(J915)&gt;0,IF(OR(ISLOGICAL(J915),J915="TRUE"),"Yes",""),"")</f>
      </c>
      <c r="L915" s="59"/>
      <c r="M915" s="59"/>
      <c r="N915" s="62" t="str">
        <f>IF(LEN(M915)&gt;0,IF(OR(ISLOGICAL(M915),M915="TRUE"),"Yes",""),"")</f>
      </c>
      <c r="O915" s="59"/>
      <c r="P915" s="62" t="str">
        <f>IF(LEN(O915)&gt;0,IF(OR(ISLOGICAL(O915),O915="TRUE"),"Yes",""),"")</f>
      </c>
      <c r="Q915" s="62" t="s">
        <v>98</v>
      </c>
      <c r="R915" s="63"/>
    </row>
    <row r="916" spans="1:18" s="47" customFormat="1" ht="51">
      <c r="A916" s="63" t="s">
        <v>1906</v>
      </c>
      <c r="B916" s="63" t="s">
        <v>96</v>
      </c>
      <c r="C916" s="63" t="s">
        <v>1907</v>
      </c>
      <c r="D916" s="61"/>
      <c r="E916" s="45">
        <v>0.0745</v>
      </c>
      <c r="F916" s="45">
        <v>0.0745</v>
      </c>
      <c r="G916" s="66">
        <v>46082</v>
      </c>
      <c r="H916" s="45" t="str">
        <f>IF(ISNUMBER(E916),F916-E916,"N/A")</f>
        <v>N/A</v>
      </c>
      <c r="I916" s="46" t="str">
        <f>IF(E916&lt;&gt;"",IF(F916=E916,"No Change",IF(F916&gt;E916,"Increase","Decrease")),"New")</f>
        <v>Increase</v>
      </c>
      <c r="J916" s="58"/>
      <c r="K916" s="59" t="str">
        <f>IF(LEN(J916)&gt;0,IF(OR(ISLOGICAL(J916),J916="TRUE"),"Yes",""),"")</f>
      </c>
      <c r="L916" s="59"/>
      <c r="M916" s="59"/>
      <c r="N916" s="62" t="str">
        <f>IF(LEN(M916)&gt;0,IF(OR(ISLOGICAL(M916),M916="TRUE"),"Yes",""),"")</f>
      </c>
      <c r="O916" s="59"/>
      <c r="P916" s="62" t="str">
        <f>IF(LEN(O916)&gt;0,IF(OR(ISLOGICAL(O916),O916="TRUE"),"Yes",""),"")</f>
      </c>
      <c r="Q916" s="62" t="s">
        <v>98</v>
      </c>
      <c r="R916" s="63"/>
    </row>
    <row r="917" spans="1:18" s="47" customFormat="1" ht="51">
      <c r="A917" s="63" t="s">
        <v>1908</v>
      </c>
      <c r="B917" s="63" t="s">
        <v>96</v>
      </c>
      <c r="C917" s="63" t="s">
        <v>1909</v>
      </c>
      <c r="D917" s="61"/>
      <c r="E917" s="45">
        <v>0.007</v>
      </c>
      <c r="F917" s="45">
        <v>0.007</v>
      </c>
      <c r="G917" s="66">
        <v>46143</v>
      </c>
      <c r="H917" s="45" t="str">
        <f>IF(ISNUMBER(E917),F917-E917,"N/A")</f>
        <v>N/A</v>
      </c>
      <c r="I917" s="46" t="str">
        <f>IF(E917&lt;&gt;"",IF(F917=E917,"No Change",IF(F917&gt;E917,"Increase","Decrease")),"New")</f>
        <v>Increase</v>
      </c>
      <c r="J917" s="58"/>
      <c r="K917" s="59" t="str">
        <f>IF(LEN(J917)&gt;0,IF(OR(ISLOGICAL(J917),J917="TRUE"),"Yes",""),"")</f>
      </c>
      <c r="L917" s="59"/>
      <c r="M917" s="59"/>
      <c r="N917" s="62" t="str">
        <f>IF(LEN(M917)&gt;0,IF(OR(ISLOGICAL(M917),M917="TRUE"),"Yes",""),"")</f>
      </c>
      <c r="O917" s="59"/>
      <c r="P917" s="62" t="str">
        <f>IF(LEN(O917)&gt;0,IF(OR(ISLOGICAL(O917),O917="TRUE"),"Yes",""),"")</f>
      </c>
      <c r="Q917" s="62" t="s">
        <v>98</v>
      </c>
      <c r="R917" s="63"/>
    </row>
    <row r="918" spans="1:18" s="47" customFormat="1" ht="51">
      <c r="A918" s="63" t="s">
        <v>1910</v>
      </c>
      <c r="B918" s="63" t="s">
        <v>96</v>
      </c>
      <c r="C918" s="63" t="s">
        <v>1911</v>
      </c>
      <c r="D918" s="61"/>
      <c r="E918" s="45">
        <v>0.2015</v>
      </c>
      <c r="F918" s="45">
        <v>0.2015</v>
      </c>
      <c r="G918" s="66">
        <v>46074</v>
      </c>
      <c r="H918" s="45" t="str">
        <f>IF(ISNUMBER(E918),F918-E918,"N/A")</f>
        <v>N/A</v>
      </c>
      <c r="I918" s="46" t="str">
        <f>IF(E918&lt;&gt;"",IF(F918=E918,"No Change",IF(F918&gt;E918,"Increase","Decrease")),"New")</f>
        <v>Increase</v>
      </c>
      <c r="J918" s="58" t="s">
        <v>122</v>
      </c>
      <c r="K918" s="59" t="str">
        <f>IF(LEN(J918)&gt;0,IF(OR(ISLOGICAL(J918),J918="TRUE"),"Yes",""),"")</f>
      </c>
      <c r="L918" s="59"/>
      <c r="M918" s="59"/>
      <c r="N918" s="62" t="str">
        <f>IF(LEN(M918)&gt;0,IF(OR(ISLOGICAL(M918),M918="TRUE"),"Yes",""),"")</f>
      </c>
      <c r="O918" s="59"/>
      <c r="P918" s="62" t="str">
        <f>IF(LEN(O918)&gt;0,IF(OR(ISLOGICAL(O918),O918="TRUE"),"Yes",""),"")</f>
      </c>
      <c r="Q918" s="62" t="s">
        <v>98</v>
      </c>
      <c r="R918" s="63"/>
    </row>
    <row r="919" spans="1:18" s="47" customFormat="1" ht="51">
      <c r="A919" s="63" t="s">
        <v>1912</v>
      </c>
      <c r="B919" s="63" t="s">
        <v>96</v>
      </c>
      <c r="C919" s="63" t="s">
        <v>1913</v>
      </c>
      <c r="D919" s="61"/>
      <c r="E919" s="45">
        <v>0.2015</v>
      </c>
      <c r="F919" s="45">
        <v>0.2015</v>
      </c>
      <c r="G919" s="66">
        <v>46082</v>
      </c>
      <c r="H919" s="45" t="str">
        <f>IF(ISNUMBER(E919),F919-E919,"N/A")</f>
        <v>N/A</v>
      </c>
      <c r="I919" s="46" t="str">
        <f>IF(E919&lt;&gt;"",IF(F919=E919,"No Change",IF(F919&gt;E919,"Increase","Decrease")),"New")</f>
        <v>Increase</v>
      </c>
      <c r="J919" s="58"/>
      <c r="K919" s="59" t="str">
        <f>IF(LEN(J919)&gt;0,IF(OR(ISLOGICAL(J919),J919="TRUE"),"Yes",""),"")</f>
      </c>
      <c r="L919" s="59"/>
      <c r="M919" s="59"/>
      <c r="N919" s="62" t="str">
        <f>IF(LEN(M919)&gt;0,IF(OR(ISLOGICAL(M919),M919="TRUE"),"Yes",""),"")</f>
      </c>
      <c r="O919" s="59"/>
      <c r="P919" s="62" t="str">
        <f>IF(LEN(O919)&gt;0,IF(OR(ISLOGICAL(O919),O919="TRUE"),"Yes",""),"")</f>
      </c>
      <c r="Q919" s="62" t="s">
        <v>98</v>
      </c>
      <c r="R919" s="63"/>
    </row>
    <row r="920" spans="1:18" s="47" customFormat="1" ht="51">
      <c r="A920" s="63" t="s">
        <v>1914</v>
      </c>
      <c r="B920" s="63" t="s">
        <v>96</v>
      </c>
      <c r="C920" s="63" t="s">
        <v>1915</v>
      </c>
      <c r="D920" s="61"/>
      <c r="E920" s="45">
        <v>0.2015</v>
      </c>
      <c r="F920" s="45">
        <v>0.2015</v>
      </c>
      <c r="G920" s="66">
        <v>46082</v>
      </c>
      <c r="H920" s="45" t="str">
        <f>IF(ISNUMBER(E920),F920-E920,"N/A")</f>
        <v>N/A</v>
      </c>
      <c r="I920" s="46" t="str">
        <f>IF(E920&lt;&gt;"",IF(F920=E920,"No Change",IF(F920&gt;E920,"Increase","Decrease")),"New")</f>
        <v>Increase</v>
      </c>
      <c r="J920" s="58"/>
      <c r="K920" s="59" t="str">
        <f>IF(LEN(J920)&gt;0,IF(OR(ISLOGICAL(J920),J920="TRUE"),"Yes",""),"")</f>
      </c>
      <c r="L920" s="59"/>
      <c r="M920" s="59"/>
      <c r="N920" s="62" t="str">
        <f>IF(LEN(M920)&gt;0,IF(OR(ISLOGICAL(M920),M920="TRUE"),"Yes",""),"")</f>
      </c>
      <c r="O920" s="59"/>
      <c r="P920" s="62" t="str">
        <f>IF(LEN(O920)&gt;0,IF(OR(ISLOGICAL(O920),O920="TRUE"),"Yes",""),"")</f>
      </c>
      <c r="Q920" s="62" t="s">
        <v>98</v>
      </c>
      <c r="R920" s="63"/>
    </row>
    <row r="921" spans="1:18" s="47" customFormat="1" ht="51">
      <c r="A921" s="63" t="s">
        <v>1916</v>
      </c>
      <c r="B921" s="63" t="s">
        <v>96</v>
      </c>
      <c r="C921" s="63" t="s">
        <v>1917</v>
      </c>
      <c r="D921" s="61"/>
      <c r="E921" s="45">
        <v>0.1575</v>
      </c>
      <c r="F921" s="45">
        <v>0.1575</v>
      </c>
      <c r="G921" s="66">
        <v>46092</v>
      </c>
      <c r="H921" s="45" t="str">
        <f>IF(ISNUMBER(E921),F921-E921,"N/A")</f>
        <v>N/A</v>
      </c>
      <c r="I921" s="46" t="str">
        <f>IF(E921&lt;&gt;"",IF(F921=E921,"No Change",IF(F921&gt;E921,"Increase","Decrease")),"New")</f>
        <v>Increase</v>
      </c>
      <c r="J921" s="58" t="s">
        <v>122</v>
      </c>
      <c r="K921" s="59" t="str">
        <f>IF(LEN(J921)&gt;0,IF(OR(ISLOGICAL(J921),J921="TRUE"),"Yes",""),"")</f>
      </c>
      <c r="L921" s="59"/>
      <c r="M921" s="59"/>
      <c r="N921" s="62" t="str">
        <f>IF(LEN(M921)&gt;0,IF(OR(ISLOGICAL(M921),M921="TRUE"),"Yes",""),"")</f>
      </c>
      <c r="O921" s="59"/>
      <c r="P921" s="62" t="str">
        <f>IF(LEN(O921)&gt;0,IF(OR(ISLOGICAL(O921),O921="TRUE"),"Yes",""),"")</f>
      </c>
      <c r="Q921" s="62" t="s">
        <v>98</v>
      </c>
      <c r="R921" s="63"/>
    </row>
    <row r="922" spans="1:18" s="47" customFormat="1" ht="51">
      <c r="A922" s="63" t="s">
        <v>1918</v>
      </c>
      <c r="B922" s="63" t="s">
        <v>96</v>
      </c>
      <c r="C922" s="63" t="s">
        <v>1919</v>
      </c>
      <c r="D922" s="61"/>
      <c r="E922" s="45">
        <v>0.1675</v>
      </c>
      <c r="F922" s="45">
        <v>0.1675</v>
      </c>
      <c r="G922" s="66">
        <v>46092</v>
      </c>
      <c r="H922" s="45" t="str">
        <f>IF(ISNUMBER(E922),F922-E922,"N/A")</f>
        <v>N/A</v>
      </c>
      <c r="I922" s="46" t="str">
        <f>IF(E922&lt;&gt;"",IF(F922=E922,"No Change",IF(F922&gt;E922,"Increase","Decrease")),"New")</f>
        <v>Increase</v>
      </c>
      <c r="J922" s="58" t="s">
        <v>122</v>
      </c>
      <c r="K922" s="59" t="str">
        <f>IF(LEN(J922)&gt;0,IF(OR(ISLOGICAL(J922),J922="TRUE"),"Yes",""),"")</f>
      </c>
      <c r="L922" s="59"/>
      <c r="M922" s="59"/>
      <c r="N922" s="62" t="str">
        <f>IF(LEN(M922)&gt;0,IF(OR(ISLOGICAL(M922),M922="TRUE"),"Yes",""),"")</f>
      </c>
      <c r="O922" s="59"/>
      <c r="P922" s="62" t="str">
        <f>IF(LEN(O922)&gt;0,IF(OR(ISLOGICAL(O922),O922="TRUE"),"Yes",""),"")</f>
      </c>
      <c r="Q922" s="62" t="s">
        <v>98</v>
      </c>
      <c r="R922" s="63"/>
    </row>
    <row r="923" spans="1:18" s="47" customFormat="1" ht="51">
      <c r="A923" s="63" t="s">
        <v>1920</v>
      </c>
      <c r="B923" s="63" t="s">
        <v>96</v>
      </c>
      <c r="C923" s="63" t="s">
        <v>1921</v>
      </c>
      <c r="D923" s="61"/>
      <c r="E923" s="45">
        <v>0.2015</v>
      </c>
      <c r="F923" s="45">
        <v>0.2015</v>
      </c>
      <c r="G923" s="66">
        <v>46092</v>
      </c>
      <c r="H923" s="45" t="str">
        <f>IF(ISNUMBER(E923),F923-E923,"N/A")</f>
        <v>N/A</v>
      </c>
      <c r="I923" s="46" t="str">
        <f>IF(E923&lt;&gt;"",IF(F923=E923,"No Change",IF(F923&gt;E923,"Increase","Decrease")),"New")</f>
        <v>Increase</v>
      </c>
      <c r="J923" s="58" t="s">
        <v>122</v>
      </c>
      <c r="K923" s="59" t="str">
        <f>IF(LEN(J923)&gt;0,IF(OR(ISLOGICAL(J923),J923="TRUE"),"Yes",""),"")</f>
      </c>
      <c r="L923" s="59"/>
      <c r="M923" s="59"/>
      <c r="N923" s="62" t="str">
        <f>IF(LEN(M923)&gt;0,IF(OR(ISLOGICAL(M923),M923="TRUE"),"Yes",""),"")</f>
      </c>
      <c r="O923" s="59"/>
      <c r="P923" s="62" t="str">
        <f>IF(LEN(O923)&gt;0,IF(OR(ISLOGICAL(O923),O923="TRUE"),"Yes",""),"")</f>
      </c>
      <c r="Q923" s="62" t="s">
        <v>98</v>
      </c>
      <c r="R923" s="63"/>
    </row>
    <row r="924" spans="1:18" s="47" customFormat="1" ht="51">
      <c r="A924" s="63" t="s">
        <v>1922</v>
      </c>
      <c r="B924" s="63" t="s">
        <v>96</v>
      </c>
      <c r="C924" s="63" t="s">
        <v>1923</v>
      </c>
      <c r="D924" s="61"/>
      <c r="E924" s="45">
        <v>0.2015</v>
      </c>
      <c r="F924" s="45">
        <v>0.2015</v>
      </c>
      <c r="G924" s="66">
        <v>46092</v>
      </c>
      <c r="H924" s="45" t="str">
        <f>IF(ISNUMBER(E924),F924-E924,"N/A")</f>
        <v>N/A</v>
      </c>
      <c r="I924" s="46" t="str">
        <f>IF(E924&lt;&gt;"",IF(F924=E924,"No Change",IF(F924&gt;E924,"Increase","Decrease")),"New")</f>
        <v>Increase</v>
      </c>
      <c r="J924" s="58" t="s">
        <v>122</v>
      </c>
      <c r="K924" s="59" t="str">
        <f>IF(LEN(J924)&gt;0,IF(OR(ISLOGICAL(J924),J924="TRUE"),"Yes",""),"")</f>
      </c>
      <c r="L924" s="59"/>
      <c r="M924" s="59"/>
      <c r="N924" s="62" t="str">
        <f>IF(LEN(M924)&gt;0,IF(OR(ISLOGICAL(M924),M924="TRUE"),"Yes",""),"")</f>
      </c>
      <c r="O924" s="59"/>
      <c r="P924" s="62" t="str">
        <f>IF(LEN(O924)&gt;0,IF(OR(ISLOGICAL(O924),O924="TRUE"),"Yes",""),"")</f>
      </c>
      <c r="Q924" s="62" t="s">
        <v>98</v>
      </c>
      <c r="R924" s="63"/>
    </row>
    <row r="925" spans="1:18" s="47" customFormat="1" ht="51">
      <c r="A925" s="63" t="s">
        <v>1924</v>
      </c>
      <c r="B925" s="63" t="s">
        <v>96</v>
      </c>
      <c r="C925" s="63" t="s">
        <v>1925</v>
      </c>
      <c r="D925" s="61"/>
      <c r="E925" s="45">
        <v>0.13</v>
      </c>
      <c r="F925" s="45">
        <v>0.13</v>
      </c>
      <c r="G925" s="66">
        <v>46057</v>
      </c>
      <c r="H925" s="45" t="str">
        <f>IF(ISNUMBER(E925),F925-E925,"N/A")</f>
        <v>N/A</v>
      </c>
      <c r="I925" s="46" t="str">
        <f>IF(E925&lt;&gt;"",IF(F925=E925,"No Change",IF(F925&gt;E925,"Increase","Decrease")),"New")</f>
        <v>Increase</v>
      </c>
      <c r="J925" s="58"/>
      <c r="K925" s="59" t="str">
        <f>IF(LEN(J925)&gt;0,IF(OR(ISLOGICAL(J925),J925="TRUE"),"Yes",""),"")</f>
      </c>
      <c r="L925" s="59"/>
      <c r="M925" s="59"/>
      <c r="N925" s="62" t="str">
        <f>IF(LEN(M925)&gt;0,IF(OR(ISLOGICAL(M925),M925="TRUE"),"Yes",""),"")</f>
      </c>
      <c r="O925" s="59"/>
      <c r="P925" s="62" t="str">
        <f>IF(LEN(O925)&gt;0,IF(OR(ISLOGICAL(O925),O925="TRUE"),"Yes",""),"")</f>
      </c>
      <c r="Q925" s="62" t="s">
        <v>98</v>
      </c>
      <c r="R925" s="63"/>
    </row>
    <row r="926" spans="1:18" s="47" customFormat="1" ht="51">
      <c r="A926" s="63" t="s">
        <v>1926</v>
      </c>
      <c r="B926" s="63" t="s">
        <v>96</v>
      </c>
      <c r="C926" s="63" t="s">
        <v>1927</v>
      </c>
      <c r="D926" s="61"/>
      <c r="E926" s="45">
        <v>0.0745</v>
      </c>
      <c r="F926" s="45">
        <v>0.0745</v>
      </c>
      <c r="G926" s="66">
        <v>46082</v>
      </c>
      <c r="H926" s="45" t="str">
        <f>IF(ISNUMBER(E926),F926-E926,"N/A")</f>
        <v>N/A</v>
      </c>
      <c r="I926" s="46" t="str">
        <f>IF(E926&lt;&gt;"",IF(F926=E926,"No Change",IF(F926&gt;E926,"Increase","Decrease")),"New")</f>
        <v>Increase</v>
      </c>
      <c r="J926" s="58"/>
      <c r="K926" s="59" t="str">
        <f>IF(LEN(J926)&gt;0,IF(OR(ISLOGICAL(J926),J926="TRUE"),"Yes",""),"")</f>
      </c>
      <c r="L926" s="59"/>
      <c r="M926" s="59"/>
      <c r="N926" s="62" t="str">
        <f>IF(LEN(M926)&gt;0,IF(OR(ISLOGICAL(M926),M926="TRUE"),"Yes",""),"")</f>
      </c>
      <c r="O926" s="59"/>
      <c r="P926" s="62" t="str">
        <f>IF(LEN(O926)&gt;0,IF(OR(ISLOGICAL(O926),O926="TRUE"),"Yes",""),"")</f>
      </c>
      <c r="Q926" s="62" t="s">
        <v>98</v>
      </c>
      <c r="R926" s="63"/>
    </row>
    <row r="927" spans="1:18" s="47" customFormat="1" ht="51">
      <c r="A927" s="63" t="s">
        <v>1928</v>
      </c>
      <c r="B927" s="63" t="s">
        <v>96</v>
      </c>
      <c r="C927" s="63" t="s">
        <v>1929</v>
      </c>
      <c r="D927" s="61"/>
      <c r="E927" s="45">
        <v>3.25</v>
      </c>
      <c r="F927" s="45">
        <v>3.25</v>
      </c>
      <c r="G927" s="66">
        <v>46143</v>
      </c>
      <c r="H927" s="45" t="str">
        <f>IF(ISNUMBER(E927),F927-E927,"N/A")</f>
        <v>N/A</v>
      </c>
      <c r="I927" s="46" t="str">
        <f>IF(E927&lt;&gt;"",IF(F927=E927,"No Change",IF(F927&gt;E927,"Increase","Decrease")),"New")</f>
        <v>Increase</v>
      </c>
      <c r="J927" s="58"/>
      <c r="K927" s="59" t="str">
        <f>IF(LEN(J927)&gt;0,IF(OR(ISLOGICAL(J927),J927="TRUE"),"Yes",""),"")</f>
      </c>
      <c r="L927" s="59"/>
      <c r="M927" s="59"/>
      <c r="N927" s="62" t="str">
        <f>IF(LEN(M927)&gt;0,IF(OR(ISLOGICAL(M927),M927="TRUE"),"Yes",""),"")</f>
      </c>
      <c r="O927" s="59"/>
      <c r="P927" s="62" t="str">
        <f>IF(LEN(O927)&gt;0,IF(OR(ISLOGICAL(O927),O927="TRUE"),"Yes",""),"")</f>
      </c>
      <c r="Q927" s="62" t="s">
        <v>109</v>
      </c>
      <c r="R927" s="63"/>
    </row>
    <row r="928" spans="1:18" s="47" customFormat="1" ht="51">
      <c r="A928" s="63" t="s">
        <v>1930</v>
      </c>
      <c r="B928" s="63" t="s">
        <v>96</v>
      </c>
      <c r="C928" s="63" t="s">
        <v>1931</v>
      </c>
      <c r="D928" s="61"/>
      <c r="E928" s="45">
        <v>0.0745</v>
      </c>
      <c r="F928" s="45">
        <v>0.0745</v>
      </c>
      <c r="G928" s="66">
        <v>46029</v>
      </c>
      <c r="H928" s="45" t="str">
        <f>IF(ISNUMBER(E928),F928-E928,"N/A")</f>
        <v>N/A</v>
      </c>
      <c r="I928" s="46" t="str">
        <f>IF(E928&lt;&gt;"",IF(F928=E928,"No Change",IF(F928&gt;E928,"Increase","Decrease")),"New")</f>
        <v>Increase</v>
      </c>
      <c r="J928" s="58"/>
      <c r="K928" s="59" t="str">
        <f>IF(LEN(J928)&gt;0,IF(OR(ISLOGICAL(J928),J928="TRUE"),"Yes",""),"")</f>
      </c>
      <c r="L928" s="59"/>
      <c r="M928" s="59"/>
      <c r="N928" s="62" t="str">
        <f>IF(LEN(M928)&gt;0,IF(OR(ISLOGICAL(M928),M928="TRUE"),"Yes",""),"")</f>
      </c>
      <c r="O928" s="59"/>
      <c r="P928" s="62" t="str">
        <f>IF(LEN(O928)&gt;0,IF(OR(ISLOGICAL(O928),O928="TRUE"),"Yes",""),"")</f>
      </c>
      <c r="Q928" s="62" t="s">
        <v>98</v>
      </c>
      <c r="R928" s="63"/>
    </row>
    <row r="929" spans="1:18" s="47" customFormat="1" ht="51">
      <c r="A929" s="63" t="s">
        <v>1932</v>
      </c>
      <c r="B929" s="63" t="s">
        <v>96</v>
      </c>
      <c r="C929" s="63" t="s">
        <v>1933</v>
      </c>
      <c r="D929" s="61"/>
      <c r="E929" s="45">
        <v>0.295</v>
      </c>
      <c r="F929" s="45">
        <v>0.295</v>
      </c>
      <c r="G929" s="66">
        <v>46092</v>
      </c>
      <c r="H929" s="45" t="str">
        <f>IF(ISNUMBER(E929),F929-E929,"N/A")</f>
        <v>N/A</v>
      </c>
      <c r="I929" s="46" t="str">
        <f>IF(E929&lt;&gt;"",IF(F929=E929,"No Change",IF(F929&gt;E929,"Increase","Decrease")),"New")</f>
        <v>Increase</v>
      </c>
      <c r="J929" s="58"/>
      <c r="K929" s="59" t="str">
        <f>IF(LEN(J929)&gt;0,IF(OR(ISLOGICAL(J929),J929="TRUE"),"Yes",""),"")</f>
      </c>
      <c r="L929" s="59"/>
      <c r="M929" s="59"/>
      <c r="N929" s="62" t="str">
        <f>IF(LEN(M929)&gt;0,IF(OR(ISLOGICAL(M929),M929="TRUE"),"Yes",""),"")</f>
      </c>
      <c r="O929" s="59"/>
      <c r="P929" s="62" t="str">
        <f>IF(LEN(O929)&gt;0,IF(OR(ISLOGICAL(O929),O929="TRUE"),"Yes",""),"")</f>
      </c>
      <c r="Q929" s="62" t="s">
        <v>109</v>
      </c>
      <c r="R929" s="63"/>
    </row>
    <row r="930" spans="1:18" s="47" customFormat="1" ht="51">
      <c r="A930" s="63" t="s">
        <v>1934</v>
      </c>
      <c r="B930" s="63" t="s">
        <v>96</v>
      </c>
      <c r="C930" s="63" t="s">
        <v>1935</v>
      </c>
      <c r="D930" s="61"/>
      <c r="E930" s="45">
        <v>0.295</v>
      </c>
      <c r="F930" s="45">
        <v>0.295</v>
      </c>
      <c r="G930" s="66">
        <v>46078</v>
      </c>
      <c r="H930" s="45" t="str">
        <f>IF(ISNUMBER(E930),F930-E930,"N/A")</f>
        <v>N/A</v>
      </c>
      <c r="I930" s="46" t="str">
        <f>IF(E930&lt;&gt;"",IF(F930=E930,"No Change",IF(F930&gt;E930,"Increase","Decrease")),"New")</f>
        <v>Increase</v>
      </c>
      <c r="J930" s="58" t="s">
        <v>122</v>
      </c>
      <c r="K930" s="59" t="str">
        <f>IF(LEN(J930)&gt;0,IF(OR(ISLOGICAL(J930),J930="TRUE"),"Yes",""),"")</f>
      </c>
      <c r="L930" s="59"/>
      <c r="M930" s="59"/>
      <c r="N930" s="62" t="str">
        <f>IF(LEN(M930)&gt;0,IF(OR(ISLOGICAL(M930),M930="TRUE"),"Yes",""),"")</f>
      </c>
      <c r="O930" s="59"/>
      <c r="P930" s="62" t="str">
        <f>IF(LEN(O930)&gt;0,IF(OR(ISLOGICAL(O930),O930="TRUE"),"Yes",""),"")</f>
      </c>
      <c r="Q930" s="62" t="s">
        <v>109</v>
      </c>
      <c r="R930" s="63"/>
    </row>
    <row r="931" spans="1:18" s="47" customFormat="1" ht="51">
      <c r="A931" s="63" t="s">
        <v>1936</v>
      </c>
      <c r="B931" s="63" t="s">
        <v>96</v>
      </c>
      <c r="C931" s="63" t="s">
        <v>1937</v>
      </c>
      <c r="D931" s="61"/>
      <c r="E931" s="45">
        <v>0.295</v>
      </c>
      <c r="F931" s="45">
        <v>0.295</v>
      </c>
      <c r="G931" s="66">
        <v>46078</v>
      </c>
      <c r="H931" s="45" t="str">
        <f>IF(ISNUMBER(E931),F931-E931,"N/A")</f>
        <v>N/A</v>
      </c>
      <c r="I931" s="46" t="str">
        <f>IF(E931&lt;&gt;"",IF(F931=E931,"No Change",IF(F931&gt;E931,"Increase","Decrease")),"New")</f>
        <v>Increase</v>
      </c>
      <c r="J931" s="58" t="s">
        <v>122</v>
      </c>
      <c r="K931" s="59" t="str">
        <f>IF(LEN(J931)&gt;0,IF(OR(ISLOGICAL(J931),J931="TRUE"),"Yes",""),"")</f>
      </c>
      <c r="L931" s="59"/>
      <c r="M931" s="59"/>
      <c r="N931" s="62" t="str">
        <f>IF(LEN(M931)&gt;0,IF(OR(ISLOGICAL(M931),M931="TRUE"),"Yes",""),"")</f>
      </c>
      <c r="O931" s="59"/>
      <c r="P931" s="62" t="str">
        <f>IF(LEN(O931)&gt;0,IF(OR(ISLOGICAL(O931),O931="TRUE"),"Yes",""),"")</f>
      </c>
      <c r="Q931" s="62" t="s">
        <v>98</v>
      </c>
      <c r="R931" s="63"/>
    </row>
    <row r="932" spans="1:18" s="47" customFormat="1" ht="51">
      <c r="A932" s="63" t="s">
        <v>1938</v>
      </c>
      <c r="B932" s="63" t="s">
        <v>96</v>
      </c>
      <c r="C932" s="63" t="s">
        <v>1939</v>
      </c>
      <c r="D932" s="61"/>
      <c r="E932" s="45">
        <v>0.84</v>
      </c>
      <c r="F932" s="45">
        <v>0.84</v>
      </c>
      <c r="G932" s="66">
        <v>44986</v>
      </c>
      <c r="H932" s="45" t="str">
        <f>IF(ISNUMBER(E932),F932-E932,"N/A")</f>
        <v>N/A</v>
      </c>
      <c r="I932" s="46" t="str">
        <f>IF(E932&lt;&gt;"",IF(F932=E932,"No Change",IF(F932&gt;E932,"Increase","Decrease")),"New")</f>
        <v>Increase</v>
      </c>
      <c r="J932" s="58"/>
      <c r="K932" s="59" t="str">
        <f>IF(LEN(J932)&gt;0,IF(OR(ISLOGICAL(J932),J932="TRUE"),"Yes",""),"")</f>
      </c>
      <c r="L932" s="59"/>
      <c r="M932" s="59"/>
      <c r="N932" s="62" t="str">
        <f>IF(LEN(M932)&gt;0,IF(OR(ISLOGICAL(M932),M932="TRUE"),"Yes",""),"")</f>
      </c>
      <c r="O932" s="59"/>
      <c r="P932" s="62" t="str">
        <f>IF(LEN(O932)&gt;0,IF(OR(ISLOGICAL(O932),O932="TRUE"),"Yes",""),"")</f>
      </c>
      <c r="Q932" s="62" t="s">
        <v>109</v>
      </c>
      <c r="R932" s="63"/>
    </row>
    <row r="933" spans="1:18" s="47" customFormat="1" ht="51">
      <c r="A933" s="63" t="s">
        <v>1940</v>
      </c>
      <c r="B933" s="63" t="s">
        <v>96</v>
      </c>
      <c r="C933" s="63" t="s">
        <v>1941</v>
      </c>
      <c r="D933" s="61"/>
      <c r="E933" s="45">
        <v>0.84</v>
      </c>
      <c r="F933" s="45">
        <v>0.84</v>
      </c>
      <c r="G933" s="66">
        <v>45839</v>
      </c>
      <c r="H933" s="45" t="str">
        <f>IF(ISNUMBER(E933),F933-E933,"N/A")</f>
        <v>N/A</v>
      </c>
      <c r="I933" s="46" t="str">
        <f>IF(E933&lt;&gt;"",IF(F933=E933,"No Change",IF(F933&gt;E933,"Increase","Decrease")),"New")</f>
        <v>Increase</v>
      </c>
      <c r="J933" s="58" t="s">
        <v>122</v>
      </c>
      <c r="K933" s="59" t="str">
        <f>IF(LEN(J933)&gt;0,IF(OR(ISLOGICAL(J933),J933="TRUE"),"Yes",""),"")</f>
      </c>
      <c r="L933" s="59"/>
      <c r="M933" s="59"/>
      <c r="N933" s="62" t="str">
        <f>IF(LEN(M933)&gt;0,IF(OR(ISLOGICAL(M933),M933="TRUE"),"Yes",""),"")</f>
      </c>
      <c r="O933" s="59"/>
      <c r="P933" s="62" t="str">
        <f>IF(LEN(O933)&gt;0,IF(OR(ISLOGICAL(O933),O933="TRUE"),"Yes",""),"")</f>
      </c>
      <c r="Q933" s="62" t="s">
        <v>109</v>
      </c>
      <c r="R933" s="63"/>
    </row>
    <row r="934" spans="1:18" s="47" customFormat="1" ht="51">
      <c r="A934" s="63" t="s">
        <v>1942</v>
      </c>
      <c r="B934" s="63" t="s">
        <v>96</v>
      </c>
      <c r="C934" s="63" t="s">
        <v>1943</v>
      </c>
      <c r="D934" s="61"/>
      <c r="E934" s="45">
        <v>0.84</v>
      </c>
      <c r="F934" s="45">
        <v>0.84</v>
      </c>
      <c r="G934" s="66">
        <v>45839</v>
      </c>
      <c r="H934" s="45" t="str">
        <f>IF(ISNUMBER(E934),F934-E934,"N/A")</f>
        <v>N/A</v>
      </c>
      <c r="I934" s="46" t="str">
        <f>IF(E934&lt;&gt;"",IF(F934=E934,"No Change",IF(F934&gt;E934,"Increase","Decrease")),"New")</f>
        <v>Increase</v>
      </c>
      <c r="J934" s="58" t="s">
        <v>122</v>
      </c>
      <c r="K934" s="59" t="str">
        <f>IF(LEN(J934)&gt;0,IF(OR(ISLOGICAL(J934),J934="TRUE"),"Yes",""),"")</f>
      </c>
      <c r="L934" s="59"/>
      <c r="M934" s="59"/>
      <c r="N934" s="62" t="str">
        <f>IF(LEN(M934)&gt;0,IF(OR(ISLOGICAL(M934),M934="TRUE"),"Yes",""),"")</f>
      </c>
      <c r="O934" s="59"/>
      <c r="P934" s="62" t="str">
        <f>IF(LEN(O934)&gt;0,IF(OR(ISLOGICAL(O934),O934="TRUE"),"Yes",""),"")</f>
      </c>
      <c r="Q934" s="62" t="s">
        <v>109</v>
      </c>
      <c r="R934" s="63"/>
    </row>
    <row r="935" spans="1:18" s="47" customFormat="1" ht="51">
      <c r="A935" s="63" t="s">
        <v>1944</v>
      </c>
      <c r="B935" s="63" t="s">
        <v>96</v>
      </c>
      <c r="C935" s="63" t="s">
        <v>1945</v>
      </c>
      <c r="D935" s="61"/>
      <c r="E935" s="45">
        <v>0.84</v>
      </c>
      <c r="F935" s="45">
        <v>0.84</v>
      </c>
      <c r="G935" s="66">
        <v>44986</v>
      </c>
      <c r="H935" s="45" t="str">
        <f>IF(ISNUMBER(E935),F935-E935,"N/A")</f>
        <v>N/A</v>
      </c>
      <c r="I935" s="46" t="str">
        <f>IF(E935&lt;&gt;"",IF(F935=E935,"No Change",IF(F935&gt;E935,"Increase","Decrease")),"New")</f>
        <v>Increase</v>
      </c>
      <c r="J935" s="58" t="s">
        <v>103</v>
      </c>
      <c r="K935" s="59" t="str">
        <f>IF(LEN(J935)&gt;0,IF(OR(ISLOGICAL(J935),J935="TRUE"),"Yes",""),"")</f>
      </c>
      <c r="L935" s="59"/>
      <c r="M935" s="59"/>
      <c r="N935" s="62" t="str">
        <f>IF(LEN(M935)&gt;0,IF(OR(ISLOGICAL(M935),M935="TRUE"),"Yes",""),"")</f>
      </c>
      <c r="O935" s="59"/>
      <c r="P935" s="62" t="str">
        <f>IF(LEN(O935)&gt;0,IF(OR(ISLOGICAL(O935),O935="TRUE"),"Yes",""),"")</f>
      </c>
      <c r="Q935" s="62" t="s">
        <v>109</v>
      </c>
      <c r="R935" s="63"/>
    </row>
    <row r="936" spans="1:18" s="47" customFormat="1" ht="51">
      <c r="A936" s="63" t="s">
        <v>1946</v>
      </c>
      <c r="B936" s="63" t="s">
        <v>96</v>
      </c>
      <c r="C936" s="63" t="s">
        <v>1947</v>
      </c>
      <c r="D936" s="61"/>
      <c r="E936" s="45">
        <v>0.04</v>
      </c>
      <c r="F936" s="45">
        <v>0.04</v>
      </c>
      <c r="G936" s="66">
        <v>46074</v>
      </c>
      <c r="H936" s="45" t="str">
        <f>IF(ISNUMBER(E936),F936-E936,"N/A")</f>
        <v>N/A</v>
      </c>
      <c r="I936" s="46" t="str">
        <f>IF(E936&lt;&gt;"",IF(F936=E936,"No Change",IF(F936&gt;E936,"Increase","Decrease")),"New")</f>
        <v>Increase</v>
      </c>
      <c r="J936" s="58"/>
      <c r="K936" s="59" t="str">
        <f>IF(LEN(J936)&gt;0,IF(OR(ISLOGICAL(J936),J936="TRUE"),"Yes",""),"")</f>
      </c>
      <c r="L936" s="59"/>
      <c r="M936" s="59"/>
      <c r="N936" s="62" t="str">
        <f>IF(LEN(M936)&gt;0,IF(OR(ISLOGICAL(M936),M936="TRUE"),"Yes",""),"")</f>
      </c>
      <c r="O936" s="59"/>
      <c r="P936" s="62" t="str">
        <f>IF(LEN(O936)&gt;0,IF(OR(ISLOGICAL(O936),O936="TRUE"),"Yes",""),"")</f>
      </c>
      <c r="Q936" s="62" t="s">
        <v>98</v>
      </c>
      <c r="R936" s="63"/>
    </row>
    <row r="937" spans="1:18" s="47" customFormat="1" ht="51">
      <c r="A937" s="63" t="s">
        <v>1948</v>
      </c>
      <c r="B937" s="63" t="s">
        <v>96</v>
      </c>
      <c r="C937" s="63" t="s">
        <v>1949</v>
      </c>
      <c r="D937" s="61"/>
      <c r="E937" s="45">
        <v>0.13</v>
      </c>
      <c r="F937" s="45">
        <v>0.13</v>
      </c>
      <c r="G937" s="66">
        <v>46082</v>
      </c>
      <c r="H937" s="45" t="str">
        <f>IF(ISNUMBER(E937),F937-E937,"N/A")</f>
        <v>N/A</v>
      </c>
      <c r="I937" s="46" t="str">
        <f>IF(E937&lt;&gt;"",IF(F937=E937,"No Change",IF(F937&gt;E937,"Increase","Decrease")),"New")</f>
        <v>Increase</v>
      </c>
      <c r="J937" s="58"/>
      <c r="K937" s="59" t="str">
        <f>IF(LEN(J937)&gt;0,IF(OR(ISLOGICAL(J937),J937="TRUE"),"Yes",""),"")</f>
      </c>
      <c r="L937" s="59"/>
      <c r="M937" s="59"/>
      <c r="N937" s="62" t="str">
        <f>IF(LEN(M937)&gt;0,IF(OR(ISLOGICAL(M937),M937="TRUE"),"Yes",""),"")</f>
      </c>
      <c r="O937" s="59"/>
      <c r="P937" s="62" t="str">
        <f>IF(LEN(O937)&gt;0,IF(OR(ISLOGICAL(O937),O937="TRUE"),"Yes",""),"")</f>
      </c>
      <c r="Q937" s="62" t="s">
        <v>98</v>
      </c>
      <c r="R937" s="63"/>
    </row>
    <row r="938" spans="1:18" s="47" customFormat="1" ht="51">
      <c r="A938" s="63" t="s">
        <v>1950</v>
      </c>
      <c r="B938" s="63" t="s">
        <v>96</v>
      </c>
      <c r="C938" s="63" t="s">
        <v>1951</v>
      </c>
      <c r="D938" s="61"/>
      <c r="E938" s="45">
        <v>0.13</v>
      </c>
      <c r="F938" s="45">
        <v>0.13</v>
      </c>
      <c r="G938" s="66">
        <v>46082</v>
      </c>
      <c r="H938" s="45" t="str">
        <f>IF(ISNUMBER(E938),F938-E938,"N/A")</f>
        <v>N/A</v>
      </c>
      <c r="I938" s="46" t="str">
        <f>IF(E938&lt;&gt;"",IF(F938=E938,"No Change",IF(F938&gt;E938,"Increase","Decrease")),"New")</f>
        <v>Increase</v>
      </c>
      <c r="J938" s="58"/>
      <c r="K938" s="59" t="str">
        <f>IF(LEN(J938)&gt;0,IF(OR(ISLOGICAL(J938),J938="TRUE"),"Yes",""),"")</f>
      </c>
      <c r="L938" s="59"/>
      <c r="M938" s="59"/>
      <c r="N938" s="62" t="str">
        <f>IF(LEN(M938)&gt;0,IF(OR(ISLOGICAL(M938),M938="TRUE"),"Yes",""),"")</f>
      </c>
      <c r="O938" s="59"/>
      <c r="P938" s="62" t="str">
        <f>IF(LEN(O938)&gt;0,IF(OR(ISLOGICAL(O938),O938="TRUE"),"Yes",""),"")</f>
      </c>
      <c r="Q938" s="62" t="s">
        <v>98</v>
      </c>
      <c r="R938" s="63"/>
    </row>
    <row r="939" spans="1:18" s="47" customFormat="1" ht="51">
      <c r="A939" s="63" t="s">
        <v>1952</v>
      </c>
      <c r="B939" s="63" t="s">
        <v>96</v>
      </c>
      <c r="C939" s="63" t="s">
        <v>1953</v>
      </c>
      <c r="D939" s="61"/>
      <c r="E939" s="45">
        <v>1.015</v>
      </c>
      <c r="F939" s="45">
        <v>1.015</v>
      </c>
      <c r="G939" s="66">
        <v>46092</v>
      </c>
      <c r="H939" s="45" t="str">
        <f>IF(ISNUMBER(E939),F939-E939,"N/A")</f>
        <v>N/A</v>
      </c>
      <c r="I939" s="46" t="str">
        <f>IF(E939&lt;&gt;"",IF(F939=E939,"No Change",IF(F939&gt;E939,"Increase","Decrease")),"New")</f>
        <v>Increase</v>
      </c>
      <c r="J939" s="58"/>
      <c r="K939" s="59" t="str">
        <f>IF(LEN(J939)&gt;0,IF(OR(ISLOGICAL(J939),J939="TRUE"),"Yes",""),"")</f>
      </c>
      <c r="L939" s="59"/>
      <c r="M939" s="59"/>
      <c r="N939" s="62" t="str">
        <f>IF(LEN(M939)&gt;0,IF(OR(ISLOGICAL(M939),M939="TRUE"),"Yes",""),"")</f>
      </c>
      <c r="O939" s="59"/>
      <c r="P939" s="62" t="str">
        <f>IF(LEN(O939)&gt;0,IF(OR(ISLOGICAL(O939),O939="TRUE"),"Yes",""),"")</f>
      </c>
      <c r="Q939" s="62" t="s">
        <v>109</v>
      </c>
      <c r="R939" s="63"/>
    </row>
    <row r="940" spans="1:18" s="47" customFormat="1" ht="51">
      <c r="A940" s="63" t="s">
        <v>1954</v>
      </c>
      <c r="B940" s="63" t="s">
        <v>96</v>
      </c>
      <c r="C940" s="63" t="s">
        <v>1955</v>
      </c>
      <c r="D940" s="61"/>
      <c r="E940" s="45">
        <v>0.0835</v>
      </c>
      <c r="F940" s="45">
        <v>0.0835</v>
      </c>
      <c r="G940" s="66">
        <v>46143</v>
      </c>
      <c r="H940" s="45" t="str">
        <f>IF(ISNUMBER(E940),F940-E940,"N/A")</f>
        <v>N/A</v>
      </c>
      <c r="I940" s="46" t="str">
        <f>IF(E940&lt;&gt;"",IF(F940=E940,"No Change",IF(F940&gt;E940,"Increase","Decrease")),"New")</f>
        <v>Increase</v>
      </c>
      <c r="J940" s="58"/>
      <c r="K940" s="59" t="str">
        <f>IF(LEN(J940)&gt;0,IF(OR(ISLOGICAL(J940),J940="TRUE"),"Yes",""),"")</f>
      </c>
      <c r="L940" s="59"/>
      <c r="M940" s="59"/>
      <c r="N940" s="62" t="str">
        <f>IF(LEN(M940)&gt;0,IF(OR(ISLOGICAL(M940),M940="TRUE"),"Yes",""),"")</f>
      </c>
      <c r="O940" s="59"/>
      <c r="P940" s="62" t="str">
        <f>IF(LEN(O940)&gt;0,IF(OR(ISLOGICAL(O940),O940="TRUE"),"Yes",""),"")</f>
      </c>
      <c r="Q940" s="62" t="s">
        <v>98</v>
      </c>
      <c r="R940" s="63"/>
    </row>
    <row r="941" spans="1:18" s="47" customFormat="1" ht="51">
      <c r="A941" s="63" t="s">
        <v>1956</v>
      </c>
      <c r="B941" s="63" t="s">
        <v>96</v>
      </c>
      <c r="C941" s="63" t="s">
        <v>1957</v>
      </c>
      <c r="D941" s="61"/>
      <c r="E941" s="45">
        <v>0.0835</v>
      </c>
      <c r="F941" s="45">
        <v>0.0835</v>
      </c>
      <c r="G941" s="66">
        <v>46082</v>
      </c>
      <c r="H941" s="45" t="str">
        <f>IF(ISNUMBER(E941),F941-E941,"N/A")</f>
        <v>N/A</v>
      </c>
      <c r="I941" s="46" t="str">
        <f>IF(E941&lt;&gt;"",IF(F941=E941,"No Change",IF(F941&gt;E941,"Increase","Decrease")),"New")</f>
        <v>Increase</v>
      </c>
      <c r="J941" s="58"/>
      <c r="K941" s="59" t="str">
        <f>IF(LEN(J941)&gt;0,IF(OR(ISLOGICAL(J941),J941="TRUE"),"Yes",""),"")</f>
      </c>
      <c r="L941" s="59"/>
      <c r="M941" s="59"/>
      <c r="N941" s="62" t="str">
        <f>IF(LEN(M941)&gt;0,IF(OR(ISLOGICAL(M941),M941="TRUE"),"Yes",""),"")</f>
      </c>
      <c r="O941" s="59"/>
      <c r="P941" s="62" t="str">
        <f>IF(LEN(O941)&gt;0,IF(OR(ISLOGICAL(O941),O941="TRUE"),"Yes",""),"")</f>
      </c>
      <c r="Q941" s="62" t="s">
        <v>98</v>
      </c>
      <c r="R941" s="63"/>
    </row>
    <row r="942" spans="1:18" s="47" customFormat="1" ht="51">
      <c r="A942" s="63" t="s">
        <v>1958</v>
      </c>
      <c r="B942" s="63" t="s">
        <v>96</v>
      </c>
      <c r="C942" s="63" t="s">
        <v>1959</v>
      </c>
      <c r="D942" s="61"/>
      <c r="E942" s="45">
        <v>0.094</v>
      </c>
      <c r="F942" s="45">
        <v>0.094</v>
      </c>
      <c r="G942" s="66">
        <v>46082</v>
      </c>
      <c r="H942" s="45" t="str">
        <f>IF(ISNUMBER(E942),F942-E942,"N/A")</f>
        <v>N/A</v>
      </c>
      <c r="I942" s="46" t="str">
        <f>IF(E942&lt;&gt;"",IF(F942=E942,"No Change",IF(F942&gt;E942,"Increase","Decrease")),"New")</f>
        <v>Increase</v>
      </c>
      <c r="J942" s="58"/>
      <c r="K942" s="59" t="str">
        <f>IF(LEN(J942)&gt;0,IF(OR(ISLOGICAL(J942),J942="TRUE"),"Yes",""),"")</f>
      </c>
      <c r="L942" s="59"/>
      <c r="M942" s="59"/>
      <c r="N942" s="62" t="str">
        <f>IF(LEN(M942)&gt;0,IF(OR(ISLOGICAL(M942),M942="TRUE"),"Yes",""),"")</f>
      </c>
      <c r="O942" s="59"/>
      <c r="P942" s="62" t="str">
        <f>IF(LEN(O942)&gt;0,IF(OR(ISLOGICAL(O942),O942="TRUE"),"Yes",""),"")</f>
      </c>
      <c r="Q942" s="62" t="s">
        <v>98</v>
      </c>
      <c r="R942" s="63"/>
    </row>
    <row r="943" spans="1:18" s="47" customFormat="1" ht="51">
      <c r="A943" s="63" t="s">
        <v>1960</v>
      </c>
      <c r="B943" s="63" t="s">
        <v>96</v>
      </c>
      <c r="C943" s="63" t="s">
        <v>1961</v>
      </c>
      <c r="D943" s="61"/>
      <c r="E943" s="45">
        <v>0.1</v>
      </c>
      <c r="F943" s="45">
        <v>0.1</v>
      </c>
      <c r="G943" s="66">
        <v>45847</v>
      </c>
      <c r="H943" s="45" t="str">
        <f>IF(ISNUMBER(E943),F943-E943,"N/A")</f>
        <v>N/A</v>
      </c>
      <c r="I943" s="46" t="str">
        <f>IF(E943&lt;&gt;"",IF(F943=E943,"No Change",IF(F943&gt;E943,"Increase","Decrease")),"New")</f>
        <v>Increase</v>
      </c>
      <c r="J943" s="58" t="s">
        <v>122</v>
      </c>
      <c r="K943" s="59" t="str">
        <f>IF(LEN(J943)&gt;0,IF(OR(ISLOGICAL(J943),J943="TRUE"),"Yes",""),"")</f>
      </c>
      <c r="L943" s="59"/>
      <c r="M943" s="59"/>
      <c r="N943" s="62" t="str">
        <f>IF(LEN(M943)&gt;0,IF(OR(ISLOGICAL(M943),M943="TRUE"),"Yes",""),"")</f>
      </c>
      <c r="O943" s="59"/>
      <c r="P943" s="62" t="str">
        <f>IF(LEN(O943)&gt;0,IF(OR(ISLOGICAL(O943),O943="TRUE"),"Yes",""),"")</f>
      </c>
      <c r="Q943" s="62" t="s">
        <v>98</v>
      </c>
      <c r="R943" s="63"/>
    </row>
    <row r="944" spans="1:18" s="47" customFormat="1" ht="51">
      <c r="A944" s="63" t="s">
        <v>1962</v>
      </c>
      <c r="B944" s="63" t="s">
        <v>96</v>
      </c>
      <c r="C944" s="63" t="s">
        <v>1963</v>
      </c>
      <c r="D944" s="61"/>
      <c r="E944" s="45">
        <v>0.11</v>
      </c>
      <c r="F944" s="45">
        <v>0.11</v>
      </c>
      <c r="G944" s="66">
        <v>46082</v>
      </c>
      <c r="H944" s="45" t="str">
        <f>IF(ISNUMBER(E944),F944-E944,"N/A")</f>
        <v>N/A</v>
      </c>
      <c r="I944" s="46" t="str">
        <f>IF(E944&lt;&gt;"",IF(F944=E944,"No Change",IF(F944&gt;E944,"Increase","Decrease")),"New")</f>
        <v>Increase</v>
      </c>
      <c r="J944" s="58"/>
      <c r="K944" s="59" t="str">
        <f>IF(LEN(J944)&gt;0,IF(OR(ISLOGICAL(J944),J944="TRUE"),"Yes",""),"")</f>
      </c>
      <c r="L944" s="59"/>
      <c r="M944" s="59"/>
      <c r="N944" s="62" t="str">
        <f>IF(LEN(M944)&gt;0,IF(OR(ISLOGICAL(M944),M944="TRUE"),"Yes",""),"")</f>
      </c>
      <c r="O944" s="59"/>
      <c r="P944" s="62" t="str">
        <f>IF(LEN(O944)&gt;0,IF(OR(ISLOGICAL(O944),O944="TRUE"),"Yes",""),"")</f>
      </c>
      <c r="Q944" s="62" t="s">
        <v>98</v>
      </c>
      <c r="R944" s="63"/>
    </row>
    <row r="945" spans="1:18" s="47" customFormat="1" ht="51">
      <c r="A945" s="63" t="s">
        <v>1964</v>
      </c>
      <c r="B945" s="63" t="s">
        <v>96</v>
      </c>
      <c r="C945" s="63" t="s">
        <v>1965</v>
      </c>
      <c r="D945" s="61"/>
      <c r="E945" s="45">
        <v>0.11</v>
      </c>
      <c r="F945" s="45">
        <v>0.11</v>
      </c>
      <c r="G945" s="66">
        <v>46082</v>
      </c>
      <c r="H945" s="45" t="str">
        <f>IF(ISNUMBER(E945),F945-E945,"N/A")</f>
        <v>N/A</v>
      </c>
      <c r="I945" s="46" t="str">
        <f>IF(E945&lt;&gt;"",IF(F945=E945,"No Change",IF(F945&gt;E945,"Increase","Decrease")),"New")</f>
        <v>Increase</v>
      </c>
      <c r="J945" s="58"/>
      <c r="K945" s="59" t="str">
        <f>IF(LEN(J945)&gt;0,IF(OR(ISLOGICAL(J945),J945="TRUE"),"Yes",""),"")</f>
      </c>
      <c r="L945" s="59"/>
      <c r="M945" s="59"/>
      <c r="N945" s="62" t="str">
        <f>IF(LEN(M945)&gt;0,IF(OR(ISLOGICAL(M945),M945="TRUE"),"Yes",""),"")</f>
      </c>
      <c r="O945" s="59"/>
      <c r="P945" s="62" t="str">
        <f>IF(LEN(O945)&gt;0,IF(OR(ISLOGICAL(O945),O945="TRUE"),"Yes",""),"")</f>
      </c>
      <c r="Q945" s="62" t="s">
        <v>98</v>
      </c>
      <c r="R945" s="63"/>
    </row>
    <row r="946" spans="1:18" s="47" customFormat="1" ht="51">
      <c r="A946" s="63" t="s">
        <v>1966</v>
      </c>
      <c r="B946" s="63" t="s">
        <v>96</v>
      </c>
      <c r="C946" s="63" t="s">
        <v>1967</v>
      </c>
      <c r="D946" s="61"/>
      <c r="E946" s="45">
        <v>0.0835</v>
      </c>
      <c r="F946" s="45">
        <v>0.0835</v>
      </c>
      <c r="G946" s="66">
        <v>46074</v>
      </c>
      <c r="H946" s="45" t="str">
        <f>IF(ISNUMBER(E946),F946-E946,"N/A")</f>
        <v>N/A</v>
      </c>
      <c r="I946" s="46" t="str">
        <f>IF(E946&lt;&gt;"",IF(F946=E946,"No Change",IF(F946&gt;E946,"Increase","Decrease")),"New")</f>
        <v>Increase</v>
      </c>
      <c r="J946" s="58" t="s">
        <v>122</v>
      </c>
      <c r="K946" s="59" t="str">
        <f>IF(LEN(J946)&gt;0,IF(OR(ISLOGICAL(J946),J946="TRUE"),"Yes",""),"")</f>
      </c>
      <c r="L946" s="59"/>
      <c r="M946" s="59"/>
      <c r="N946" s="62" t="str">
        <f>IF(LEN(M946)&gt;0,IF(OR(ISLOGICAL(M946),M946="TRUE"),"Yes",""),"")</f>
      </c>
      <c r="O946" s="59"/>
      <c r="P946" s="62" t="str">
        <f>IF(LEN(O946)&gt;0,IF(OR(ISLOGICAL(O946),O946="TRUE"),"Yes",""),"")</f>
      </c>
      <c r="Q946" s="62" t="s">
        <v>98</v>
      </c>
      <c r="R946" s="63"/>
    </row>
    <row r="947" spans="1:18" s="47" customFormat="1" ht="51">
      <c r="A947" s="63" t="s">
        <v>1968</v>
      </c>
      <c r="B947" s="63" t="s">
        <v>96</v>
      </c>
      <c r="C947" s="63" t="s">
        <v>1969</v>
      </c>
      <c r="D947" s="61"/>
      <c r="E947" s="45">
        <v>0.11</v>
      </c>
      <c r="F947" s="45">
        <v>0.11</v>
      </c>
      <c r="G947" s="66">
        <v>46092</v>
      </c>
      <c r="H947" s="45" t="str">
        <f>IF(ISNUMBER(E947),F947-E947,"N/A")</f>
        <v>N/A</v>
      </c>
      <c r="I947" s="46" t="str">
        <f>IF(E947&lt;&gt;"",IF(F947=E947,"No Change",IF(F947&gt;E947,"Increase","Decrease")),"New")</f>
        <v>Increase</v>
      </c>
      <c r="J947" s="58" t="s">
        <v>122</v>
      </c>
      <c r="K947" s="59" t="str">
        <f>IF(LEN(J947)&gt;0,IF(OR(ISLOGICAL(J947),J947="TRUE"),"Yes",""),"")</f>
      </c>
      <c r="L947" s="59"/>
      <c r="M947" s="59"/>
      <c r="N947" s="62" t="str">
        <f>IF(LEN(M947)&gt;0,IF(OR(ISLOGICAL(M947),M947="TRUE"),"Yes",""),"")</f>
      </c>
      <c r="O947" s="59"/>
      <c r="P947" s="62" t="str">
        <f>IF(LEN(O947)&gt;0,IF(OR(ISLOGICAL(O947),O947="TRUE"),"Yes",""),"")</f>
      </c>
      <c r="Q947" s="62" t="s">
        <v>98</v>
      </c>
      <c r="R947" s="63"/>
    </row>
    <row r="948" spans="1:18" s="47" customFormat="1" ht="51">
      <c r="A948" s="63" t="s">
        <v>1970</v>
      </c>
      <c r="B948" s="63" t="s">
        <v>96</v>
      </c>
      <c r="C948" s="63" t="s">
        <v>1971</v>
      </c>
      <c r="D948" s="61"/>
      <c r="E948" s="45">
        <v>0.11</v>
      </c>
      <c r="F948" s="45">
        <v>0.11</v>
      </c>
      <c r="G948" s="66">
        <v>46082</v>
      </c>
      <c r="H948" s="45" t="str">
        <f>IF(ISNUMBER(E948),F948-E948,"N/A")</f>
        <v>N/A</v>
      </c>
      <c r="I948" s="46" t="str">
        <f>IF(E948&lt;&gt;"",IF(F948=E948,"No Change",IF(F948&gt;E948,"Increase","Decrease")),"New")</f>
        <v>Increase</v>
      </c>
      <c r="J948" s="58"/>
      <c r="K948" s="59" t="str">
        <f>IF(LEN(J948)&gt;0,IF(OR(ISLOGICAL(J948),J948="TRUE"),"Yes",""),"")</f>
      </c>
      <c r="L948" s="59"/>
      <c r="M948" s="59"/>
      <c r="N948" s="62" t="str">
        <f>IF(LEN(M948)&gt;0,IF(OR(ISLOGICAL(M948),M948="TRUE"),"Yes",""),"")</f>
      </c>
      <c r="O948" s="59"/>
      <c r="P948" s="62" t="str">
        <f>IF(LEN(O948)&gt;0,IF(OR(ISLOGICAL(O948),O948="TRUE"),"Yes",""),"")</f>
      </c>
      <c r="Q948" s="62" t="s">
        <v>98</v>
      </c>
      <c r="R948" s="63"/>
    </row>
    <row r="949" spans="1:18" s="47" customFormat="1" ht="51">
      <c r="A949" s="63" t="s">
        <v>1972</v>
      </c>
      <c r="B949" s="63" t="s">
        <v>96</v>
      </c>
      <c r="C949" s="63" t="s">
        <v>1973</v>
      </c>
      <c r="D949" s="61"/>
      <c r="E949" s="45">
        <v>0.11</v>
      </c>
      <c r="F949" s="45">
        <v>0.11</v>
      </c>
      <c r="G949" s="66">
        <v>45679</v>
      </c>
      <c r="H949" s="45" t="str">
        <f>IF(ISNUMBER(E949),F949-E949,"N/A")</f>
        <v>N/A</v>
      </c>
      <c r="I949" s="46" t="str">
        <f>IF(E949&lt;&gt;"",IF(F949=E949,"No Change",IF(F949&gt;E949,"Increase","Decrease")),"New")</f>
        <v>Increase</v>
      </c>
      <c r="J949" s="58" t="s">
        <v>122</v>
      </c>
      <c r="K949" s="59" t="str">
        <f>IF(LEN(J949)&gt;0,IF(OR(ISLOGICAL(J949),J949="TRUE"),"Yes",""),"")</f>
      </c>
      <c r="L949" s="59"/>
      <c r="M949" s="59"/>
      <c r="N949" s="62" t="str">
        <f>IF(LEN(M949)&gt;0,IF(OR(ISLOGICAL(M949),M949="TRUE"),"Yes",""),"")</f>
      </c>
      <c r="O949" s="59"/>
      <c r="P949" s="62" t="str">
        <f>IF(LEN(O949)&gt;0,IF(OR(ISLOGICAL(O949),O949="TRUE"),"Yes",""),"")</f>
      </c>
      <c r="Q949" s="62" t="s">
        <v>98</v>
      </c>
      <c r="R949" s="63"/>
    </row>
    <row r="950" spans="1:18" s="47" customFormat="1" ht="51">
      <c r="A950" s="63" t="s">
        <v>1974</v>
      </c>
      <c r="B950" s="63" t="s">
        <v>96</v>
      </c>
      <c r="C950" s="63" t="s">
        <v>1975</v>
      </c>
      <c r="D950" s="61"/>
      <c r="E950" s="45">
        <v>0.094</v>
      </c>
      <c r="F950" s="45">
        <v>0.094</v>
      </c>
      <c r="G950" s="66">
        <v>46082</v>
      </c>
      <c r="H950" s="45" t="str">
        <f>IF(ISNUMBER(E950),F950-E950,"N/A")</f>
        <v>N/A</v>
      </c>
      <c r="I950" s="46" t="str">
        <f>IF(E950&lt;&gt;"",IF(F950=E950,"No Change",IF(F950&gt;E950,"Increase","Decrease")),"New")</f>
        <v>Increase</v>
      </c>
      <c r="J950" s="58" t="s">
        <v>122</v>
      </c>
      <c r="K950" s="59" t="str">
        <f>IF(LEN(J950)&gt;0,IF(OR(ISLOGICAL(J950),J950="TRUE"),"Yes",""),"")</f>
      </c>
      <c r="L950" s="59"/>
      <c r="M950" s="59"/>
      <c r="N950" s="62" t="str">
        <f>IF(LEN(M950)&gt;0,IF(OR(ISLOGICAL(M950),M950="TRUE"),"Yes",""),"")</f>
      </c>
      <c r="O950" s="59"/>
      <c r="P950" s="62" t="str">
        <f>IF(LEN(O950)&gt;0,IF(OR(ISLOGICAL(O950),O950="TRUE"),"Yes",""),"")</f>
      </c>
      <c r="Q950" s="62" t="s">
        <v>98</v>
      </c>
      <c r="R950" s="63"/>
    </row>
    <row r="951" spans="1:18" s="47" customFormat="1" ht="51">
      <c r="A951" s="63" t="s">
        <v>1976</v>
      </c>
      <c r="B951" s="63" t="s">
        <v>96</v>
      </c>
      <c r="C951" s="63" t="s">
        <v>1977</v>
      </c>
      <c r="D951" s="61"/>
      <c r="E951" s="45">
        <v>0.0835</v>
      </c>
      <c r="F951" s="45">
        <v>0.0835</v>
      </c>
      <c r="G951" s="66">
        <v>46143</v>
      </c>
      <c r="H951" s="45" t="str">
        <f>IF(ISNUMBER(E951),F951-E951,"N/A")</f>
        <v>N/A</v>
      </c>
      <c r="I951" s="46" t="str">
        <f>IF(E951&lt;&gt;"",IF(F951=E951,"No Change",IF(F951&gt;E951,"Increase","Decrease")),"New")</f>
        <v>Increase</v>
      </c>
      <c r="J951" s="58"/>
      <c r="K951" s="59" t="str">
        <f>IF(LEN(J951)&gt;0,IF(OR(ISLOGICAL(J951),J951="TRUE"),"Yes",""),"")</f>
      </c>
      <c r="L951" s="59"/>
      <c r="M951" s="59"/>
      <c r="N951" s="62" t="str">
        <f>IF(LEN(M951)&gt;0,IF(OR(ISLOGICAL(M951),M951="TRUE"),"Yes",""),"")</f>
      </c>
      <c r="O951" s="59"/>
      <c r="P951" s="62" t="str">
        <f>IF(LEN(O951)&gt;0,IF(OR(ISLOGICAL(O951),O951="TRUE"),"Yes",""),"")</f>
      </c>
      <c r="Q951" s="62" t="s">
        <v>98</v>
      </c>
      <c r="R951" s="63"/>
    </row>
    <row r="952" spans="1:18" s="47" customFormat="1" ht="51">
      <c r="A952" s="63" t="s">
        <v>1978</v>
      </c>
      <c r="B952" s="63" t="s">
        <v>96</v>
      </c>
      <c r="C952" s="63" t="s">
        <v>1979</v>
      </c>
      <c r="D952" s="61"/>
      <c r="E952" s="45">
        <v>0.31</v>
      </c>
      <c r="F952" s="45">
        <v>0.31</v>
      </c>
      <c r="G952" s="66">
        <v>46085</v>
      </c>
      <c r="H952" s="45" t="str">
        <f>IF(ISNUMBER(E952),F952-E952,"N/A")</f>
        <v>N/A</v>
      </c>
      <c r="I952" s="46" t="str">
        <f>IF(E952&lt;&gt;"",IF(F952=E952,"No Change",IF(F952&gt;E952,"Increase","Decrease")),"New")</f>
        <v>Increase</v>
      </c>
      <c r="J952" s="58"/>
      <c r="K952" s="59" t="str">
        <f>IF(LEN(J952)&gt;0,IF(OR(ISLOGICAL(J952),J952="TRUE"),"Yes",""),"")</f>
      </c>
      <c r="L952" s="59"/>
      <c r="M952" s="59"/>
      <c r="N952" s="62" t="str">
        <f>IF(LEN(M952)&gt;0,IF(OR(ISLOGICAL(M952),M952="TRUE"),"Yes",""),"")</f>
      </c>
      <c r="O952" s="59"/>
      <c r="P952" s="62" t="str">
        <f>IF(LEN(O952)&gt;0,IF(OR(ISLOGICAL(O952),O952="TRUE"),"Yes",""),"")</f>
      </c>
      <c r="Q952" s="62" t="s">
        <v>98</v>
      </c>
      <c r="R952" s="63"/>
    </row>
    <row r="953" spans="1:18" s="47" customFormat="1" ht="51">
      <c r="A953" s="63" t="s">
        <v>1980</v>
      </c>
      <c r="B953" s="63" t="s">
        <v>96</v>
      </c>
      <c r="C953" s="63" t="s">
        <v>1981</v>
      </c>
      <c r="D953" s="61"/>
      <c r="E953" s="45">
        <v>0.31</v>
      </c>
      <c r="F953" s="45">
        <v>0.31</v>
      </c>
      <c r="G953" s="66">
        <v>46082</v>
      </c>
      <c r="H953" s="45" t="str">
        <f>IF(ISNUMBER(E953),F953-E953,"N/A")</f>
        <v>N/A</v>
      </c>
      <c r="I953" s="46" t="str">
        <f>IF(E953&lt;&gt;"",IF(F953=E953,"No Change",IF(F953&gt;E953,"Increase","Decrease")),"New")</f>
        <v>Increase</v>
      </c>
      <c r="J953" s="58"/>
      <c r="K953" s="59" t="str">
        <f>IF(LEN(J953)&gt;0,IF(OR(ISLOGICAL(J953),J953="TRUE"),"Yes",""),"")</f>
      </c>
      <c r="L953" s="59"/>
      <c r="M953" s="59"/>
      <c r="N953" s="62" t="str">
        <f>IF(LEN(M953)&gt;0,IF(OR(ISLOGICAL(M953),M953="TRUE"),"Yes",""),"")</f>
      </c>
      <c r="O953" s="59"/>
      <c r="P953" s="62" t="str">
        <f>IF(LEN(O953)&gt;0,IF(OR(ISLOGICAL(O953),O953="TRUE"),"Yes",""),"")</f>
      </c>
      <c r="Q953" s="62" t="s">
        <v>98</v>
      </c>
      <c r="R953" s="63"/>
    </row>
    <row r="954" spans="1:18" s="47" customFormat="1" ht="51">
      <c r="A954" s="63" t="s">
        <v>1982</v>
      </c>
      <c r="B954" s="63" t="s">
        <v>96</v>
      </c>
      <c r="C954" s="63" t="s">
        <v>1983</v>
      </c>
      <c r="D954" s="61"/>
      <c r="E954" s="45">
        <v>0.31</v>
      </c>
      <c r="F954" s="45">
        <v>0.31</v>
      </c>
      <c r="G954" s="66">
        <v>46082</v>
      </c>
      <c r="H954" s="45" t="str">
        <f>IF(ISNUMBER(E954),F954-E954,"N/A")</f>
        <v>N/A</v>
      </c>
      <c r="I954" s="46" t="str">
        <f>IF(E954&lt;&gt;"",IF(F954=E954,"No Change",IF(F954&gt;E954,"Increase","Decrease")),"New")</f>
        <v>Increase</v>
      </c>
      <c r="J954" s="58"/>
      <c r="K954" s="59" t="str">
        <f>IF(LEN(J954)&gt;0,IF(OR(ISLOGICAL(J954),J954="TRUE"),"Yes",""),"")</f>
      </c>
      <c r="L954" s="59"/>
      <c r="M954" s="59"/>
      <c r="N954" s="62" t="str">
        <f>IF(LEN(M954)&gt;0,IF(OR(ISLOGICAL(M954),M954="TRUE"),"Yes",""),"")</f>
      </c>
      <c r="O954" s="59"/>
      <c r="P954" s="62" t="str">
        <f>IF(LEN(O954)&gt;0,IF(OR(ISLOGICAL(O954),O954="TRUE"),"Yes",""),"")</f>
      </c>
      <c r="Q954" s="62" t="s">
        <v>98</v>
      </c>
      <c r="R954" s="63"/>
    </row>
    <row r="955" spans="1:18" s="47" customFormat="1" ht="51">
      <c r="A955" s="63" t="s">
        <v>1984</v>
      </c>
      <c r="B955" s="63" t="s">
        <v>96</v>
      </c>
      <c r="C955" s="63" t="s">
        <v>1985</v>
      </c>
      <c r="D955" s="61"/>
      <c r="E955" s="45">
        <v>0.31</v>
      </c>
      <c r="F955" s="45">
        <v>0.31</v>
      </c>
      <c r="G955" s="66">
        <v>46082</v>
      </c>
      <c r="H955" s="45" t="str">
        <f>IF(ISNUMBER(E955),F955-E955,"N/A")</f>
        <v>N/A</v>
      </c>
      <c r="I955" s="46" t="str">
        <f>IF(E955&lt;&gt;"",IF(F955=E955,"No Change",IF(F955&gt;E955,"Increase","Decrease")),"New")</f>
        <v>Increase</v>
      </c>
      <c r="J955" s="58"/>
      <c r="K955" s="59" t="str">
        <f>IF(LEN(J955)&gt;0,IF(OR(ISLOGICAL(J955),J955="TRUE"),"Yes",""),"")</f>
      </c>
      <c r="L955" s="59"/>
      <c r="M955" s="59"/>
      <c r="N955" s="62" t="str">
        <f>IF(LEN(M955)&gt;0,IF(OR(ISLOGICAL(M955),M955="TRUE"),"Yes",""),"")</f>
      </c>
      <c r="O955" s="59"/>
      <c r="P955" s="62" t="str">
        <f>IF(LEN(O955)&gt;0,IF(OR(ISLOGICAL(O955),O955="TRUE"),"Yes",""),"")</f>
      </c>
      <c r="Q955" s="62" t="s">
        <v>98</v>
      </c>
      <c r="R955" s="63"/>
    </row>
    <row r="956" spans="1:18" s="47" customFormat="1" ht="51">
      <c r="A956" s="63" t="s">
        <v>1986</v>
      </c>
      <c r="B956" s="63" t="s">
        <v>96</v>
      </c>
      <c r="C956" s="63" t="s">
        <v>1987</v>
      </c>
      <c r="D956" s="61"/>
      <c r="E956" s="45">
        <v>0.31</v>
      </c>
      <c r="F956" s="45">
        <v>0.31</v>
      </c>
      <c r="G956" s="66">
        <v>46082</v>
      </c>
      <c r="H956" s="45" t="str">
        <f>IF(ISNUMBER(E956),F956-E956,"N/A")</f>
        <v>N/A</v>
      </c>
      <c r="I956" s="46" t="str">
        <f>IF(E956&lt;&gt;"",IF(F956=E956,"No Change",IF(F956&gt;E956,"Increase","Decrease")),"New")</f>
        <v>Increase</v>
      </c>
      <c r="J956" s="58"/>
      <c r="K956" s="59" t="str">
        <f>IF(LEN(J956)&gt;0,IF(OR(ISLOGICAL(J956),J956="TRUE"),"Yes",""),"")</f>
      </c>
      <c r="L956" s="59"/>
      <c r="M956" s="59"/>
      <c r="N956" s="62" t="str">
        <f>IF(LEN(M956)&gt;0,IF(OR(ISLOGICAL(M956),M956="TRUE"),"Yes",""),"")</f>
      </c>
      <c r="O956" s="59"/>
      <c r="P956" s="62" t="str">
        <f>IF(LEN(O956)&gt;0,IF(OR(ISLOGICAL(O956),O956="TRUE"),"Yes",""),"")</f>
      </c>
      <c r="Q956" s="62" t="s">
        <v>98</v>
      </c>
      <c r="R956" s="63"/>
    </row>
    <row r="957" spans="1:18" s="47" customFormat="1" ht="51">
      <c r="A957" s="63" t="s">
        <v>1988</v>
      </c>
      <c r="B957" s="63" t="s">
        <v>96</v>
      </c>
      <c r="C957" s="63" t="s">
        <v>1989</v>
      </c>
      <c r="D957" s="61"/>
      <c r="E957" s="45">
        <v>0.37</v>
      </c>
      <c r="F957" s="45">
        <v>0.37</v>
      </c>
      <c r="G957" s="66">
        <v>46082</v>
      </c>
      <c r="H957" s="45" t="str">
        <f>IF(ISNUMBER(E957),F957-E957,"N/A")</f>
        <v>N/A</v>
      </c>
      <c r="I957" s="46" t="str">
        <f>IF(E957&lt;&gt;"",IF(F957=E957,"No Change",IF(F957&gt;E957,"Increase","Decrease")),"New")</f>
        <v>Increase</v>
      </c>
      <c r="J957" s="58"/>
      <c r="K957" s="59" t="str">
        <f>IF(LEN(J957)&gt;0,IF(OR(ISLOGICAL(J957),J957="TRUE"),"Yes",""),"")</f>
      </c>
      <c r="L957" s="59"/>
      <c r="M957" s="59"/>
      <c r="N957" s="62" t="str">
        <f>IF(LEN(M957)&gt;0,IF(OR(ISLOGICAL(M957),M957="TRUE"),"Yes",""),"")</f>
      </c>
      <c r="O957" s="59"/>
      <c r="P957" s="62" t="str">
        <f>IF(LEN(O957)&gt;0,IF(OR(ISLOGICAL(O957),O957="TRUE"),"Yes",""),"")</f>
      </c>
      <c r="Q957" s="62" t="s">
        <v>98</v>
      </c>
      <c r="R957" s="63"/>
    </row>
    <row r="958" spans="1:18" s="47" customFormat="1" ht="51">
      <c r="A958" s="63" t="s">
        <v>1990</v>
      </c>
      <c r="B958" s="63" t="s">
        <v>96</v>
      </c>
      <c r="C958" s="63" t="s">
        <v>1991</v>
      </c>
      <c r="D958" s="61"/>
      <c r="E958" s="45">
        <v>0.114</v>
      </c>
      <c r="F958" s="45">
        <v>0.114</v>
      </c>
      <c r="G958" s="66">
        <v>46120</v>
      </c>
      <c r="H958" s="45" t="str">
        <f>IF(ISNUMBER(E958),F958-E958,"N/A")</f>
        <v>N/A</v>
      </c>
      <c r="I958" s="46" t="str">
        <f>IF(E958&lt;&gt;"",IF(F958=E958,"No Change",IF(F958&gt;E958,"Increase","Decrease")),"New")</f>
        <v>Increase</v>
      </c>
      <c r="J958" s="58" t="s">
        <v>122</v>
      </c>
      <c r="K958" s="59" t="str">
        <f>IF(LEN(J958)&gt;0,IF(OR(ISLOGICAL(J958),J958="TRUE"),"Yes",""),"")</f>
      </c>
      <c r="L958" s="59"/>
      <c r="M958" s="59"/>
      <c r="N958" s="62" t="str">
        <f>IF(LEN(M958)&gt;0,IF(OR(ISLOGICAL(M958),M958="TRUE"),"Yes",""),"")</f>
      </c>
      <c r="O958" s="59"/>
      <c r="P958" s="62" t="str">
        <f>IF(LEN(O958)&gt;0,IF(OR(ISLOGICAL(O958),O958="TRUE"),"Yes",""),"")</f>
      </c>
      <c r="Q958" s="62" t="s">
        <v>98</v>
      </c>
      <c r="R958" s="63"/>
    </row>
    <row r="959" spans="1:18" s="47" customFormat="1" ht="51">
      <c r="A959" s="63" t="s">
        <v>1992</v>
      </c>
      <c r="B959" s="63" t="s">
        <v>96</v>
      </c>
      <c r="C959" s="63" t="s">
        <v>1993</v>
      </c>
      <c r="D959" s="61"/>
      <c r="E959" s="45">
        <v>0.445</v>
      </c>
      <c r="F959" s="45">
        <v>0.445</v>
      </c>
      <c r="G959" s="66">
        <v>46085</v>
      </c>
      <c r="H959" s="45" t="str">
        <f>IF(ISNUMBER(E959),F959-E959,"N/A")</f>
        <v>N/A</v>
      </c>
      <c r="I959" s="46" t="str">
        <f>IF(E959&lt;&gt;"",IF(F959=E959,"No Change",IF(F959&gt;E959,"Increase","Decrease")),"New")</f>
        <v>Increase</v>
      </c>
      <c r="J959" s="58" t="s">
        <v>122</v>
      </c>
      <c r="K959" s="59" t="str">
        <f>IF(LEN(J959)&gt;0,IF(OR(ISLOGICAL(J959),J959="TRUE"),"Yes",""),"")</f>
      </c>
      <c r="L959" s="59"/>
      <c r="M959" s="59"/>
      <c r="N959" s="62" t="str">
        <f>IF(LEN(M959)&gt;0,IF(OR(ISLOGICAL(M959),M959="TRUE"),"Yes",""),"")</f>
      </c>
      <c r="O959" s="59"/>
      <c r="P959" s="62" t="str">
        <f>IF(LEN(O959)&gt;0,IF(OR(ISLOGICAL(O959),O959="TRUE"),"Yes",""),"")</f>
      </c>
      <c r="Q959" s="62" t="s">
        <v>98</v>
      </c>
      <c r="R959" s="63"/>
    </row>
    <row r="960" spans="1:18" s="47" customFormat="1" ht="51">
      <c r="A960" s="63" t="s">
        <v>1994</v>
      </c>
      <c r="B960" s="63" t="s">
        <v>96</v>
      </c>
      <c r="C960" s="63" t="s">
        <v>1995</v>
      </c>
      <c r="D960" s="61"/>
      <c r="E960" s="45">
        <v>0.31</v>
      </c>
      <c r="F960" s="45">
        <v>0.31</v>
      </c>
      <c r="G960" s="66">
        <v>46082</v>
      </c>
      <c r="H960" s="45" t="str">
        <f>IF(ISNUMBER(E960),F960-E960,"N/A")</f>
        <v>N/A</v>
      </c>
      <c r="I960" s="46" t="str">
        <f>IF(E960&lt;&gt;"",IF(F960=E960,"No Change",IF(F960&gt;E960,"Increase","Decrease")),"New")</f>
        <v>Increase</v>
      </c>
      <c r="J960" s="58"/>
      <c r="K960" s="59" t="str">
        <f>IF(LEN(J960)&gt;0,IF(OR(ISLOGICAL(J960),J960="TRUE"),"Yes",""),"")</f>
      </c>
      <c r="L960" s="59"/>
      <c r="M960" s="59"/>
      <c r="N960" s="62" t="str">
        <f>IF(LEN(M960)&gt;0,IF(OR(ISLOGICAL(M960),M960="TRUE"),"Yes",""),"")</f>
      </c>
      <c r="O960" s="59"/>
      <c r="P960" s="62" t="str">
        <f>IF(LEN(O960)&gt;0,IF(OR(ISLOGICAL(O960),O960="TRUE"),"Yes",""),"")</f>
      </c>
      <c r="Q960" s="62" t="s">
        <v>98</v>
      </c>
      <c r="R960" s="63"/>
    </row>
    <row r="961" spans="1:18" s="47" customFormat="1" ht="51">
      <c r="A961" s="63" t="s">
        <v>1996</v>
      </c>
      <c r="B961" s="63" t="s">
        <v>96</v>
      </c>
      <c r="C961" s="63" t="s">
        <v>1997</v>
      </c>
      <c r="D961" s="61"/>
      <c r="E961" s="45">
        <v>0.34</v>
      </c>
      <c r="F961" s="45">
        <v>0.34</v>
      </c>
      <c r="G961" s="66">
        <v>46078</v>
      </c>
      <c r="H961" s="45" t="str">
        <f>IF(ISNUMBER(E961),F961-E961,"N/A")</f>
        <v>N/A</v>
      </c>
      <c r="I961" s="46" t="str">
        <f>IF(E961&lt;&gt;"",IF(F961=E961,"No Change",IF(F961&gt;E961,"Increase","Decrease")),"New")</f>
        <v>Increase</v>
      </c>
      <c r="J961" s="58" t="s">
        <v>122</v>
      </c>
      <c r="K961" s="59" t="str">
        <f>IF(LEN(J961)&gt;0,IF(OR(ISLOGICAL(J961),J961="TRUE"),"Yes",""),"")</f>
      </c>
      <c r="L961" s="59"/>
      <c r="M961" s="59"/>
      <c r="N961" s="62" t="str">
        <f>IF(LEN(M961)&gt;0,IF(OR(ISLOGICAL(M961),M961="TRUE"),"Yes",""),"")</f>
      </c>
      <c r="O961" s="59"/>
      <c r="P961" s="62" t="str">
        <f>IF(LEN(O961)&gt;0,IF(OR(ISLOGICAL(O961),O961="TRUE"),"Yes",""),"")</f>
      </c>
      <c r="Q961" s="62" t="s">
        <v>98</v>
      </c>
      <c r="R961" s="63"/>
    </row>
    <row r="962" spans="1:18" s="47" customFormat="1" ht="51">
      <c r="A962" s="63" t="s">
        <v>1998</v>
      </c>
      <c r="B962" s="63" t="s">
        <v>96</v>
      </c>
      <c r="C962" s="63" t="s">
        <v>1999</v>
      </c>
      <c r="D962" s="61"/>
      <c r="E962" s="45">
        <v>0.17</v>
      </c>
      <c r="F962" s="45">
        <v>0.17</v>
      </c>
      <c r="G962" s="66">
        <v>46078</v>
      </c>
      <c r="H962" s="45" t="str">
        <f>IF(ISNUMBER(E962),F962-E962,"N/A")</f>
        <v>N/A</v>
      </c>
      <c r="I962" s="46" t="str">
        <f>IF(E962&lt;&gt;"",IF(F962=E962,"No Change",IF(F962&gt;E962,"Increase","Decrease")),"New")</f>
        <v>Increase</v>
      </c>
      <c r="J962" s="58"/>
      <c r="K962" s="59" t="str">
        <f>IF(LEN(J962)&gt;0,IF(OR(ISLOGICAL(J962),J962="TRUE"),"Yes",""),"")</f>
      </c>
      <c r="L962" s="59"/>
      <c r="M962" s="59"/>
      <c r="N962" s="62" t="str">
        <f>IF(LEN(M962)&gt;0,IF(OR(ISLOGICAL(M962),M962="TRUE"),"Yes",""),"")</f>
      </c>
      <c r="O962" s="59"/>
      <c r="P962" s="62" t="str">
        <f>IF(LEN(O962)&gt;0,IF(OR(ISLOGICAL(O962),O962="TRUE"),"Yes",""),"")</f>
      </c>
      <c r="Q962" s="62" t="s">
        <v>98</v>
      </c>
      <c r="R962" s="63"/>
    </row>
    <row r="963" spans="1:18" s="47" customFormat="1" ht="51">
      <c r="A963" s="63" t="s">
        <v>2000</v>
      </c>
      <c r="B963" s="63" t="s">
        <v>96</v>
      </c>
      <c r="C963" s="63" t="s">
        <v>2001</v>
      </c>
      <c r="D963" s="61"/>
      <c r="E963" s="45">
        <v>0.13</v>
      </c>
      <c r="F963" s="45">
        <v>0.13</v>
      </c>
      <c r="G963" s="66">
        <v>46092</v>
      </c>
      <c r="H963" s="45" t="str">
        <f>IF(ISNUMBER(E963),F963-E963,"N/A")</f>
        <v>N/A</v>
      </c>
      <c r="I963" s="46" t="str">
        <f>IF(E963&lt;&gt;"",IF(F963=E963,"No Change",IF(F963&gt;E963,"Increase","Decrease")),"New")</f>
        <v>Increase</v>
      </c>
      <c r="J963" s="58"/>
      <c r="K963" s="59" t="str">
        <f>IF(LEN(J963)&gt;0,IF(OR(ISLOGICAL(J963),J963="TRUE"),"Yes",""),"")</f>
      </c>
      <c r="L963" s="59"/>
      <c r="M963" s="59"/>
      <c r="N963" s="62" t="str">
        <f>IF(LEN(M963)&gt;0,IF(OR(ISLOGICAL(M963),M963="TRUE"),"Yes",""),"")</f>
      </c>
      <c r="O963" s="59"/>
      <c r="P963" s="62" t="str">
        <f>IF(LEN(O963)&gt;0,IF(OR(ISLOGICAL(O963),O963="TRUE"),"Yes",""),"")</f>
      </c>
      <c r="Q963" s="62" t="s">
        <v>98</v>
      </c>
      <c r="R963" s="63"/>
    </row>
    <row r="964" spans="1:18" s="47" customFormat="1" ht="51">
      <c r="A964" s="63" t="s">
        <v>2002</v>
      </c>
      <c r="B964" s="63" t="s">
        <v>96</v>
      </c>
      <c r="C964" s="63" t="s">
        <v>2003</v>
      </c>
      <c r="D964" s="61"/>
      <c r="E964" s="45">
        <v>0.376</v>
      </c>
      <c r="F964" s="45">
        <v>0.376</v>
      </c>
      <c r="G964" s="66">
        <v>46085</v>
      </c>
      <c r="H964" s="45" t="str">
        <f>IF(ISNUMBER(E964),F964-E964,"N/A")</f>
        <v>N/A</v>
      </c>
      <c r="I964" s="46" t="str">
        <f>IF(E964&lt;&gt;"",IF(F964=E964,"No Change",IF(F964&gt;E964,"Increase","Decrease")),"New")</f>
        <v>Increase</v>
      </c>
      <c r="J964" s="58" t="s">
        <v>122</v>
      </c>
      <c r="K964" s="59" t="str">
        <f>IF(LEN(J964)&gt;0,IF(OR(ISLOGICAL(J964),J964="TRUE"),"Yes",""),"")</f>
      </c>
      <c r="L964" s="59"/>
      <c r="M964" s="59"/>
      <c r="N964" s="62" t="str">
        <f>IF(LEN(M964)&gt;0,IF(OR(ISLOGICAL(M964),M964="TRUE"),"Yes",""),"")</f>
      </c>
      <c r="O964" s="59"/>
      <c r="P964" s="62" t="str">
        <f>IF(LEN(O964)&gt;0,IF(OR(ISLOGICAL(O964),O964="TRUE"),"Yes",""),"")</f>
      </c>
      <c r="Q964" s="62" t="s">
        <v>98</v>
      </c>
      <c r="R964" s="63"/>
    </row>
    <row r="965" spans="1:18" s="47" customFormat="1" ht="51">
      <c r="A965" s="63" t="s">
        <v>2004</v>
      </c>
      <c r="B965" s="63" t="s">
        <v>96</v>
      </c>
      <c r="C965" s="63" t="s">
        <v>2005</v>
      </c>
      <c r="D965" s="61"/>
      <c r="E965" s="45">
        <v>0.376</v>
      </c>
      <c r="F965" s="45">
        <v>0.376</v>
      </c>
      <c r="G965" s="66">
        <v>45931</v>
      </c>
      <c r="H965" s="45" t="str">
        <f>IF(ISNUMBER(E965),F965-E965,"N/A")</f>
        <v>N/A</v>
      </c>
      <c r="I965" s="46" t="str">
        <f>IF(E965&lt;&gt;"",IF(F965=E965,"No Change",IF(F965&gt;E965,"Increase","Decrease")),"New")</f>
        <v>Increase</v>
      </c>
      <c r="J965" s="58" t="s">
        <v>122</v>
      </c>
      <c r="K965" s="59" t="str">
        <f>IF(LEN(J965)&gt;0,IF(OR(ISLOGICAL(J965),J965="TRUE"),"Yes",""),"")</f>
      </c>
      <c r="L965" s="59"/>
      <c r="M965" s="59"/>
      <c r="N965" s="62" t="str">
        <f>IF(LEN(M965)&gt;0,IF(OR(ISLOGICAL(M965),M965="TRUE"),"Yes",""),"")</f>
      </c>
      <c r="O965" s="59"/>
      <c r="P965" s="62" t="str">
        <f>IF(LEN(O965)&gt;0,IF(OR(ISLOGICAL(O965),O965="TRUE"),"Yes",""),"")</f>
      </c>
      <c r="Q965" s="62" t="s">
        <v>98</v>
      </c>
      <c r="R965" s="63"/>
    </row>
    <row r="966" spans="1:18" s="47" customFormat="1" ht="51">
      <c r="A966" s="63" t="s">
        <v>2006</v>
      </c>
      <c r="B966" s="63" t="s">
        <v>96</v>
      </c>
      <c r="C966" s="63" t="s">
        <v>2007</v>
      </c>
      <c r="D966" s="61"/>
      <c r="E966" s="45">
        <v>0.376</v>
      </c>
      <c r="F966" s="45">
        <v>0.376</v>
      </c>
      <c r="G966" s="66">
        <v>45931</v>
      </c>
      <c r="H966" s="45" t="str">
        <f>IF(ISNUMBER(E966),F966-E966,"N/A")</f>
        <v>N/A</v>
      </c>
      <c r="I966" s="46" t="str">
        <f>IF(E966&lt;&gt;"",IF(F966=E966,"No Change",IF(F966&gt;E966,"Increase","Decrease")),"New")</f>
        <v>Increase</v>
      </c>
      <c r="J966" s="58" t="s">
        <v>122</v>
      </c>
      <c r="K966" s="59" t="str">
        <f>IF(LEN(J966)&gt;0,IF(OR(ISLOGICAL(J966),J966="TRUE"),"Yes",""),"")</f>
      </c>
      <c r="L966" s="59"/>
      <c r="M966" s="59"/>
      <c r="N966" s="62" t="str">
        <f>IF(LEN(M966)&gt;0,IF(OR(ISLOGICAL(M966),M966="TRUE"),"Yes",""),"")</f>
      </c>
      <c r="O966" s="59"/>
      <c r="P966" s="62" t="str">
        <f>IF(LEN(O966)&gt;0,IF(OR(ISLOGICAL(O966),O966="TRUE"),"Yes",""),"")</f>
      </c>
      <c r="Q966" s="62" t="s">
        <v>98</v>
      </c>
      <c r="R966" s="63"/>
    </row>
    <row r="967" spans="1:18" s="47" customFormat="1" ht="51">
      <c r="A967" s="63" t="s">
        <v>2008</v>
      </c>
      <c r="B967" s="63" t="s">
        <v>96</v>
      </c>
      <c r="C967" s="63" t="s">
        <v>2009</v>
      </c>
      <c r="D967" s="61"/>
      <c r="E967" s="45">
        <v>0.376</v>
      </c>
      <c r="F967" s="45">
        <v>0.376</v>
      </c>
      <c r="G967" s="66">
        <v>45931</v>
      </c>
      <c r="H967" s="45" t="str">
        <f>IF(ISNUMBER(E967),F967-E967,"N/A")</f>
        <v>N/A</v>
      </c>
      <c r="I967" s="46" t="str">
        <f>IF(E967&lt;&gt;"",IF(F967=E967,"No Change",IF(F967&gt;E967,"Increase","Decrease")),"New")</f>
        <v>Increase</v>
      </c>
      <c r="J967" s="58" t="s">
        <v>122</v>
      </c>
      <c r="K967" s="59" t="str">
        <f>IF(LEN(J967)&gt;0,IF(OR(ISLOGICAL(J967),J967="TRUE"),"Yes",""),"")</f>
      </c>
      <c r="L967" s="59"/>
      <c r="M967" s="59"/>
      <c r="N967" s="62" t="str">
        <f>IF(LEN(M967)&gt;0,IF(OR(ISLOGICAL(M967),M967="TRUE"),"Yes",""),"")</f>
      </c>
      <c r="O967" s="59"/>
      <c r="P967" s="62" t="str">
        <f>IF(LEN(O967)&gt;0,IF(OR(ISLOGICAL(O967),O967="TRUE"),"Yes",""),"")</f>
      </c>
      <c r="Q967" s="62" t="s">
        <v>98</v>
      </c>
      <c r="R967" s="63"/>
    </row>
    <row r="968" spans="1:18" s="47" customFormat="1" ht="51">
      <c r="A968" s="63" t="s">
        <v>2010</v>
      </c>
      <c r="B968" s="63" t="s">
        <v>96</v>
      </c>
      <c r="C968" s="63" t="s">
        <v>2011</v>
      </c>
      <c r="D968" s="61"/>
      <c r="E968" s="45">
        <v>0.376</v>
      </c>
      <c r="F968" s="45">
        <v>0.376</v>
      </c>
      <c r="G968" s="66">
        <v>46082</v>
      </c>
      <c r="H968" s="45" t="str">
        <f>IF(ISNUMBER(E968),F968-E968,"N/A")</f>
        <v>N/A</v>
      </c>
      <c r="I968" s="46" t="str">
        <f>IF(E968&lt;&gt;"",IF(F968=E968,"No Change",IF(F968&gt;E968,"Increase","Decrease")),"New")</f>
        <v>Increase</v>
      </c>
      <c r="J968" s="58"/>
      <c r="K968" s="59" t="str">
        <f>IF(LEN(J968)&gt;0,IF(OR(ISLOGICAL(J968),J968="TRUE"),"Yes",""),"")</f>
      </c>
      <c r="L968" s="59"/>
      <c r="M968" s="59"/>
      <c r="N968" s="62" t="str">
        <f>IF(LEN(M968)&gt;0,IF(OR(ISLOGICAL(M968),M968="TRUE"),"Yes",""),"")</f>
      </c>
      <c r="O968" s="59"/>
      <c r="P968" s="62" t="str">
        <f>IF(LEN(O968)&gt;0,IF(OR(ISLOGICAL(O968),O968="TRUE"),"Yes",""),"")</f>
      </c>
      <c r="Q968" s="62" t="s">
        <v>98</v>
      </c>
      <c r="R968" s="63"/>
    </row>
    <row r="969" spans="1:18" s="47" customFormat="1" ht="51">
      <c r="A969" s="63" t="s">
        <v>2012</v>
      </c>
      <c r="B969" s="63" t="s">
        <v>96</v>
      </c>
      <c r="C969" s="63" t="s">
        <v>2013</v>
      </c>
      <c r="D969" s="61"/>
      <c r="E969" s="45">
        <v>0.635</v>
      </c>
      <c r="F969" s="45">
        <v>0.635</v>
      </c>
      <c r="G969" s="66">
        <v>46078</v>
      </c>
      <c r="H969" s="45" t="str">
        <f>IF(ISNUMBER(E969),F969-E969,"N/A")</f>
        <v>N/A</v>
      </c>
      <c r="I969" s="46" t="str">
        <f>IF(E969&lt;&gt;"",IF(F969=E969,"No Change",IF(F969&gt;E969,"Increase","Decrease")),"New")</f>
        <v>Increase</v>
      </c>
      <c r="J969" s="58"/>
      <c r="K969" s="59" t="str">
        <f>IF(LEN(J969)&gt;0,IF(OR(ISLOGICAL(J969),J969="TRUE"),"Yes",""),"")</f>
      </c>
      <c r="L969" s="59"/>
      <c r="M969" s="59"/>
      <c r="N969" s="62" t="str">
        <f>IF(LEN(M969)&gt;0,IF(OR(ISLOGICAL(M969),M969="TRUE"),"Yes",""),"")</f>
      </c>
      <c r="O969" s="59"/>
      <c r="P969" s="62" t="str">
        <f>IF(LEN(O969)&gt;0,IF(OR(ISLOGICAL(O969),O969="TRUE"),"Yes",""),"")</f>
      </c>
      <c r="Q969" s="62" t="s">
        <v>98</v>
      </c>
      <c r="R969" s="63"/>
    </row>
    <row r="970" spans="1:18" s="47" customFormat="1" ht="51">
      <c r="A970" s="63" t="s">
        <v>2014</v>
      </c>
      <c r="B970" s="63" t="s">
        <v>96</v>
      </c>
      <c r="C970" s="63" t="s">
        <v>2015</v>
      </c>
      <c r="D970" s="61"/>
      <c r="E970" s="45">
        <v>0.635</v>
      </c>
      <c r="F970" s="45">
        <v>0.635</v>
      </c>
      <c r="G970" s="66">
        <v>46082</v>
      </c>
      <c r="H970" s="45" t="str">
        <f>IF(ISNUMBER(E970),F970-E970,"N/A")</f>
        <v>N/A</v>
      </c>
      <c r="I970" s="46" t="str">
        <f>IF(E970&lt;&gt;"",IF(F970=E970,"No Change",IF(F970&gt;E970,"Increase","Decrease")),"New")</f>
        <v>Increase</v>
      </c>
      <c r="J970" s="58"/>
      <c r="K970" s="59" t="str">
        <f>IF(LEN(J970)&gt;0,IF(OR(ISLOGICAL(J970),J970="TRUE"),"Yes",""),"")</f>
      </c>
      <c r="L970" s="59"/>
      <c r="M970" s="59"/>
      <c r="N970" s="62" t="str">
        <f>IF(LEN(M970)&gt;0,IF(OR(ISLOGICAL(M970),M970="TRUE"),"Yes",""),"")</f>
      </c>
      <c r="O970" s="59"/>
      <c r="P970" s="62" t="str">
        <f>IF(LEN(O970)&gt;0,IF(OR(ISLOGICAL(O970),O970="TRUE"),"Yes",""),"")</f>
      </c>
      <c r="Q970" s="62" t="s">
        <v>98</v>
      </c>
      <c r="R970" s="63"/>
    </row>
    <row r="971" spans="1:18" s="47" customFormat="1" ht="51">
      <c r="A971" s="63" t="s">
        <v>2016</v>
      </c>
      <c r="B971" s="63" t="s">
        <v>96</v>
      </c>
      <c r="C971" s="63" t="s">
        <v>2017</v>
      </c>
      <c r="D971" s="61"/>
      <c r="E971" s="45">
        <v>0.635</v>
      </c>
      <c r="F971" s="45">
        <v>0.635</v>
      </c>
      <c r="G971" s="66">
        <v>46082</v>
      </c>
      <c r="H971" s="45" t="str">
        <f>IF(ISNUMBER(E971),F971-E971,"N/A")</f>
        <v>N/A</v>
      </c>
      <c r="I971" s="46" t="str">
        <f>IF(E971&lt;&gt;"",IF(F971=E971,"No Change",IF(F971&gt;E971,"Increase","Decrease")),"New")</f>
        <v>Increase</v>
      </c>
      <c r="J971" s="58"/>
      <c r="K971" s="59" t="str">
        <f>IF(LEN(J971)&gt;0,IF(OR(ISLOGICAL(J971),J971="TRUE"),"Yes",""),"")</f>
      </c>
      <c r="L971" s="59"/>
      <c r="M971" s="59"/>
      <c r="N971" s="62" t="str">
        <f>IF(LEN(M971)&gt;0,IF(OR(ISLOGICAL(M971),M971="TRUE"),"Yes",""),"")</f>
      </c>
      <c r="O971" s="59"/>
      <c r="P971" s="62" t="str">
        <f>IF(LEN(O971)&gt;0,IF(OR(ISLOGICAL(O971),O971="TRUE"),"Yes",""),"")</f>
      </c>
      <c r="Q971" s="62" t="s">
        <v>98</v>
      </c>
      <c r="R971" s="63"/>
    </row>
    <row r="972" spans="1:18" s="47" customFormat="1" ht="51">
      <c r="A972" s="63" t="s">
        <v>2018</v>
      </c>
      <c r="B972" s="63" t="s">
        <v>96</v>
      </c>
      <c r="C972" s="63" t="s">
        <v>2019</v>
      </c>
      <c r="D972" s="61"/>
      <c r="E972" s="45">
        <v>0.635</v>
      </c>
      <c r="F972" s="45">
        <v>0.635</v>
      </c>
      <c r="G972" s="66">
        <v>46082</v>
      </c>
      <c r="H972" s="45" t="str">
        <f>IF(ISNUMBER(E972),F972-E972,"N/A")</f>
        <v>N/A</v>
      </c>
      <c r="I972" s="46" t="str">
        <f>IF(E972&lt;&gt;"",IF(F972=E972,"No Change",IF(F972&gt;E972,"Increase","Decrease")),"New")</f>
        <v>Increase</v>
      </c>
      <c r="J972" s="58"/>
      <c r="K972" s="59" t="str">
        <f>IF(LEN(J972)&gt;0,IF(OR(ISLOGICAL(J972),J972="TRUE"),"Yes",""),"")</f>
      </c>
      <c r="L972" s="59"/>
      <c r="M972" s="59"/>
      <c r="N972" s="62" t="str">
        <f>IF(LEN(M972)&gt;0,IF(OR(ISLOGICAL(M972),M972="TRUE"),"Yes",""),"")</f>
      </c>
      <c r="O972" s="59"/>
      <c r="P972" s="62" t="str">
        <f>IF(LEN(O972)&gt;0,IF(OR(ISLOGICAL(O972),O972="TRUE"),"Yes",""),"")</f>
      </c>
      <c r="Q972" s="62" t="s">
        <v>98</v>
      </c>
      <c r="R972" s="63"/>
    </row>
    <row r="973" spans="1:18" s="47" customFormat="1" ht="51">
      <c r="A973" s="63" t="s">
        <v>2020</v>
      </c>
      <c r="B973" s="63" t="s">
        <v>96</v>
      </c>
      <c r="C973" s="63" t="s">
        <v>2021</v>
      </c>
      <c r="D973" s="61"/>
      <c r="E973" s="45">
        <v>0.635</v>
      </c>
      <c r="F973" s="45">
        <v>0.635</v>
      </c>
      <c r="G973" s="66">
        <v>46082</v>
      </c>
      <c r="H973" s="45" t="str">
        <f>IF(ISNUMBER(E973),F973-E973,"N/A")</f>
        <v>N/A</v>
      </c>
      <c r="I973" s="46" t="str">
        <f>IF(E973&lt;&gt;"",IF(F973=E973,"No Change",IF(F973&gt;E973,"Increase","Decrease")),"New")</f>
        <v>Increase</v>
      </c>
      <c r="J973" s="58"/>
      <c r="K973" s="59" t="str">
        <f>IF(LEN(J973)&gt;0,IF(OR(ISLOGICAL(J973),J973="TRUE"),"Yes",""),"")</f>
      </c>
      <c r="L973" s="59"/>
      <c r="M973" s="59"/>
      <c r="N973" s="62" t="str">
        <f>IF(LEN(M973)&gt;0,IF(OR(ISLOGICAL(M973),M973="TRUE"),"Yes",""),"")</f>
      </c>
      <c r="O973" s="59"/>
      <c r="P973" s="62" t="str">
        <f>IF(LEN(O973)&gt;0,IF(OR(ISLOGICAL(O973),O973="TRUE"),"Yes",""),"")</f>
      </c>
      <c r="Q973" s="62" t="s">
        <v>98</v>
      </c>
      <c r="R973" s="63"/>
    </row>
    <row r="974" spans="1:18" s="47" customFormat="1" ht="51">
      <c r="A974" s="63" t="s">
        <v>2022</v>
      </c>
      <c r="B974" s="63" t="s">
        <v>96</v>
      </c>
      <c r="C974" s="63" t="s">
        <v>2023</v>
      </c>
      <c r="D974" s="61"/>
      <c r="E974" s="45">
        <v>0.635</v>
      </c>
      <c r="F974" s="45">
        <v>0.635</v>
      </c>
      <c r="G974" s="66">
        <v>46082</v>
      </c>
      <c r="H974" s="45" t="str">
        <f>IF(ISNUMBER(E974),F974-E974,"N/A")</f>
        <v>N/A</v>
      </c>
      <c r="I974" s="46" t="str">
        <f>IF(E974&lt;&gt;"",IF(F974=E974,"No Change",IF(F974&gt;E974,"Increase","Decrease")),"New")</f>
        <v>Increase</v>
      </c>
      <c r="J974" s="58"/>
      <c r="K974" s="59" t="str">
        <f>IF(LEN(J974)&gt;0,IF(OR(ISLOGICAL(J974),J974="TRUE"),"Yes",""),"")</f>
      </c>
      <c r="L974" s="59"/>
      <c r="M974" s="59"/>
      <c r="N974" s="62" t="str">
        <f>IF(LEN(M974)&gt;0,IF(OR(ISLOGICAL(M974),M974="TRUE"),"Yes",""),"")</f>
      </c>
      <c r="O974" s="59"/>
      <c r="P974" s="62" t="str">
        <f>IF(LEN(O974)&gt;0,IF(OR(ISLOGICAL(O974),O974="TRUE"),"Yes",""),"")</f>
      </c>
      <c r="Q974" s="62" t="s">
        <v>98</v>
      </c>
      <c r="R974" s="63"/>
    </row>
    <row r="975" spans="1:18" s="47" customFormat="1" ht="51">
      <c r="A975" s="63" t="s">
        <v>2024</v>
      </c>
      <c r="B975" s="63" t="s">
        <v>96</v>
      </c>
      <c r="C975" s="63" t="s">
        <v>2025</v>
      </c>
      <c r="D975" s="61"/>
      <c r="E975" s="45">
        <v>0.325</v>
      </c>
      <c r="F975" s="45">
        <v>0.325</v>
      </c>
      <c r="G975" s="66">
        <v>46113</v>
      </c>
      <c r="H975" s="45" t="str">
        <f>IF(ISNUMBER(E975),F975-E975,"N/A")</f>
        <v>N/A</v>
      </c>
      <c r="I975" s="46" t="str">
        <f>IF(E975&lt;&gt;"",IF(F975=E975,"No Change",IF(F975&gt;E975,"Increase","Decrease")),"New")</f>
        <v>Increase</v>
      </c>
      <c r="J975" s="58"/>
      <c r="K975" s="59" t="str">
        <f>IF(LEN(J975)&gt;0,IF(OR(ISLOGICAL(J975),J975="TRUE"),"Yes",""),"")</f>
      </c>
      <c r="L975" s="59"/>
      <c r="M975" s="59"/>
      <c r="N975" s="62" t="str">
        <f>IF(LEN(M975)&gt;0,IF(OR(ISLOGICAL(M975),M975="TRUE"),"Yes",""),"")</f>
      </c>
      <c r="O975" s="59"/>
      <c r="P975" s="62" t="str">
        <f>IF(LEN(O975)&gt;0,IF(OR(ISLOGICAL(O975),O975="TRUE"),"Yes",""),"")</f>
      </c>
      <c r="Q975" s="62" t="s">
        <v>104</v>
      </c>
      <c r="R975" s="63"/>
    </row>
    <row r="976" spans="1:18" s="47" customFormat="1" ht="51">
      <c r="A976" s="63" t="s">
        <v>2026</v>
      </c>
      <c r="B976" s="63" t="s">
        <v>96</v>
      </c>
      <c r="C976" s="63" t="s">
        <v>2027</v>
      </c>
      <c r="D976" s="61"/>
      <c r="E976" s="45">
        <v>0.37</v>
      </c>
      <c r="F976" s="45">
        <v>0.37</v>
      </c>
      <c r="G976" s="66">
        <v>46082</v>
      </c>
      <c r="H976" s="45" t="str">
        <f>IF(ISNUMBER(E976),F976-E976,"N/A")</f>
        <v>N/A</v>
      </c>
      <c r="I976" s="46" t="str">
        <f>IF(E976&lt;&gt;"",IF(F976=E976,"No Change",IF(F976&gt;E976,"Increase","Decrease")),"New")</f>
        <v>Increase</v>
      </c>
      <c r="J976" s="58"/>
      <c r="K976" s="59" t="str">
        <f>IF(LEN(J976)&gt;0,IF(OR(ISLOGICAL(J976),J976="TRUE"),"Yes",""),"")</f>
      </c>
      <c r="L976" s="59"/>
      <c r="M976" s="59"/>
      <c r="N976" s="62" t="str">
        <f>IF(LEN(M976)&gt;0,IF(OR(ISLOGICAL(M976),M976="TRUE"),"Yes",""),"")</f>
      </c>
      <c r="O976" s="59"/>
      <c r="P976" s="62" t="str">
        <f>IF(LEN(O976)&gt;0,IF(OR(ISLOGICAL(O976),O976="TRUE"),"Yes",""),"")</f>
      </c>
      <c r="Q976" s="62" t="s">
        <v>104</v>
      </c>
      <c r="R976" s="63"/>
    </row>
    <row r="977" spans="1:18" s="47" customFormat="1" ht="51">
      <c r="A977" s="63" t="s">
        <v>2028</v>
      </c>
      <c r="B977" s="63" t="s">
        <v>96</v>
      </c>
      <c r="C977" s="63" t="s">
        <v>2029</v>
      </c>
      <c r="D977" s="61"/>
      <c r="E977" s="45">
        <v>0.43</v>
      </c>
      <c r="F977" s="45">
        <v>0.43</v>
      </c>
      <c r="G977" s="66">
        <v>46113</v>
      </c>
      <c r="H977" s="45" t="str">
        <f>IF(ISNUMBER(E977),F977-E977,"N/A")</f>
        <v>N/A</v>
      </c>
      <c r="I977" s="46" t="str">
        <f>IF(E977&lt;&gt;"",IF(F977=E977,"No Change",IF(F977&gt;E977,"Increase","Decrease")),"New")</f>
        <v>Increase</v>
      </c>
      <c r="J977" s="58"/>
      <c r="K977" s="59" t="str">
        <f>IF(LEN(J977)&gt;0,IF(OR(ISLOGICAL(J977),J977="TRUE"),"Yes",""),"")</f>
      </c>
      <c r="L977" s="59"/>
      <c r="M977" s="59"/>
      <c r="N977" s="62" t="str">
        <f>IF(LEN(M977)&gt;0,IF(OR(ISLOGICAL(M977),M977="TRUE"),"Yes",""),"")</f>
      </c>
      <c r="O977" s="59"/>
      <c r="P977" s="62" t="str">
        <f>IF(LEN(O977)&gt;0,IF(OR(ISLOGICAL(O977),O977="TRUE"),"Yes",""),"")</f>
      </c>
      <c r="Q977" s="62" t="s">
        <v>104</v>
      </c>
      <c r="R977" s="63"/>
    </row>
    <row r="978" spans="1:18" s="47" customFormat="1" ht="51">
      <c r="A978" s="63" t="s">
        <v>2030</v>
      </c>
      <c r="B978" s="63" t="s">
        <v>96</v>
      </c>
      <c r="C978" s="63" t="s">
        <v>2031</v>
      </c>
      <c r="D978" s="61"/>
      <c r="E978" s="45">
        <v>0.43</v>
      </c>
      <c r="F978" s="45">
        <v>0.43</v>
      </c>
      <c r="G978" s="66">
        <v>46082</v>
      </c>
      <c r="H978" s="45" t="str">
        <f>IF(ISNUMBER(E978),F978-E978,"N/A")</f>
        <v>N/A</v>
      </c>
      <c r="I978" s="46" t="str">
        <f>IF(E978&lt;&gt;"",IF(F978=E978,"No Change",IF(F978&gt;E978,"Increase","Decrease")),"New")</f>
        <v>Increase</v>
      </c>
      <c r="J978" s="58"/>
      <c r="K978" s="59" t="str">
        <f>IF(LEN(J978)&gt;0,IF(OR(ISLOGICAL(J978),J978="TRUE"),"Yes",""),"")</f>
      </c>
      <c r="L978" s="59"/>
      <c r="M978" s="59"/>
      <c r="N978" s="62" t="str">
        <f>IF(LEN(M978)&gt;0,IF(OR(ISLOGICAL(M978),M978="TRUE"),"Yes",""),"")</f>
      </c>
      <c r="O978" s="59"/>
      <c r="P978" s="62" t="str">
        <f>IF(LEN(O978)&gt;0,IF(OR(ISLOGICAL(O978),O978="TRUE"),"Yes",""),"")</f>
      </c>
      <c r="Q978" s="62" t="s">
        <v>104</v>
      </c>
      <c r="R978" s="63"/>
    </row>
    <row r="979" spans="1:18" s="47" customFormat="1" ht="51">
      <c r="A979" s="63" t="s">
        <v>2032</v>
      </c>
      <c r="B979" s="63" t="s">
        <v>96</v>
      </c>
      <c r="C979" s="63" t="s">
        <v>2033</v>
      </c>
      <c r="D979" s="61"/>
      <c r="E979" s="45">
        <v>0.33</v>
      </c>
      <c r="F979" s="45">
        <v>0.33</v>
      </c>
      <c r="G979" s="66">
        <v>46036</v>
      </c>
      <c r="H979" s="45" t="str">
        <f>IF(ISNUMBER(E979),F979-E979,"N/A")</f>
        <v>N/A</v>
      </c>
      <c r="I979" s="46" t="str">
        <f>IF(E979&lt;&gt;"",IF(F979=E979,"No Change",IF(F979&gt;E979,"Increase","Decrease")),"New")</f>
        <v>Increase</v>
      </c>
      <c r="J979" s="58"/>
      <c r="K979" s="59" t="str">
        <f>IF(LEN(J979)&gt;0,IF(OR(ISLOGICAL(J979),J979="TRUE"),"Yes",""),"")</f>
      </c>
      <c r="L979" s="59"/>
      <c r="M979" s="59"/>
      <c r="N979" s="62" t="str">
        <f>IF(LEN(M979)&gt;0,IF(OR(ISLOGICAL(M979),M979="TRUE"),"Yes",""),"")</f>
      </c>
      <c r="O979" s="59"/>
      <c r="P979" s="62" t="str">
        <f>IF(LEN(O979)&gt;0,IF(OR(ISLOGICAL(O979),O979="TRUE"),"Yes",""),"")</f>
      </c>
      <c r="Q979" s="62" t="s">
        <v>104</v>
      </c>
      <c r="R979" s="63"/>
    </row>
    <row r="980" spans="1:18" s="47" customFormat="1" ht="51">
      <c r="A980" s="63" t="s">
        <v>2034</v>
      </c>
      <c r="B980" s="63" t="s">
        <v>96</v>
      </c>
      <c r="C980" s="63" t="s">
        <v>2035</v>
      </c>
      <c r="D980" s="61"/>
      <c r="E980" s="45">
        <v>0.325</v>
      </c>
      <c r="F980" s="45">
        <v>0.325</v>
      </c>
      <c r="G980" s="66">
        <v>46078</v>
      </c>
      <c r="H980" s="45" t="str">
        <f>IF(ISNUMBER(E980),F980-E980,"N/A")</f>
        <v>N/A</v>
      </c>
      <c r="I980" s="46" t="str">
        <f>IF(E980&lt;&gt;"",IF(F980=E980,"No Change",IF(F980&gt;E980,"Increase","Decrease")),"New")</f>
        <v>Increase</v>
      </c>
      <c r="J980" s="58"/>
      <c r="K980" s="59" t="str">
        <f>IF(LEN(J980)&gt;0,IF(OR(ISLOGICAL(J980),J980="TRUE"),"Yes",""),"")</f>
      </c>
      <c r="L980" s="59"/>
      <c r="M980" s="59"/>
      <c r="N980" s="62" t="str">
        <f>IF(LEN(M980)&gt;0,IF(OR(ISLOGICAL(M980),M980="TRUE"),"Yes",""),"")</f>
      </c>
      <c r="O980" s="59"/>
      <c r="P980" s="62" t="str">
        <f>IF(LEN(O980)&gt;0,IF(OR(ISLOGICAL(O980),O980="TRUE"),"Yes",""),"")</f>
      </c>
      <c r="Q980" s="62" t="s">
        <v>104</v>
      </c>
      <c r="R980" s="63"/>
    </row>
    <row r="981" spans="1:18" s="47" customFormat="1" ht="51">
      <c r="A981" s="63" t="s">
        <v>2036</v>
      </c>
      <c r="B981" s="63" t="s">
        <v>96</v>
      </c>
      <c r="C981" s="63" t="s">
        <v>2037</v>
      </c>
      <c r="D981" s="61"/>
      <c r="E981" s="45">
        <v>0.325</v>
      </c>
      <c r="F981" s="45">
        <v>0.325</v>
      </c>
      <c r="G981" s="66">
        <v>46036</v>
      </c>
      <c r="H981" s="45" t="str">
        <f>IF(ISNUMBER(E981),F981-E981,"N/A")</f>
        <v>N/A</v>
      </c>
      <c r="I981" s="46" t="str">
        <f>IF(E981&lt;&gt;"",IF(F981=E981,"No Change",IF(F981&gt;E981,"Increase","Decrease")),"New")</f>
        <v>Increase</v>
      </c>
      <c r="J981" s="58"/>
      <c r="K981" s="59" t="str">
        <f>IF(LEN(J981)&gt;0,IF(OR(ISLOGICAL(J981),J981="TRUE"),"Yes",""),"")</f>
      </c>
      <c r="L981" s="59"/>
      <c r="M981" s="59"/>
      <c r="N981" s="62" t="str">
        <f>IF(LEN(M981)&gt;0,IF(OR(ISLOGICAL(M981),M981="TRUE"),"Yes",""),"")</f>
      </c>
      <c r="O981" s="59"/>
      <c r="P981" s="62" t="str">
        <f>IF(LEN(O981)&gt;0,IF(OR(ISLOGICAL(O981),O981="TRUE"),"Yes",""),"")</f>
      </c>
      <c r="Q981" s="62" t="s">
        <v>104</v>
      </c>
      <c r="R981" s="63"/>
    </row>
    <row r="982" spans="1:18" s="47" customFormat="1" ht="51">
      <c r="A982" s="63" t="s">
        <v>2038</v>
      </c>
      <c r="B982" s="63" t="s">
        <v>96</v>
      </c>
      <c r="C982" s="63" t="s">
        <v>2039</v>
      </c>
      <c r="D982" s="61"/>
      <c r="E982" s="45">
        <v>0.018</v>
      </c>
      <c r="F982" s="45">
        <v>0.018</v>
      </c>
      <c r="G982" s="66">
        <v>46022</v>
      </c>
      <c r="H982" s="45" t="str">
        <f>IF(ISNUMBER(E982),F982-E982,"N/A")</f>
        <v>N/A</v>
      </c>
      <c r="I982" s="46" t="str">
        <f>IF(E982&lt;&gt;"",IF(F982=E982,"No Change",IF(F982&gt;E982,"Increase","Decrease")),"New")</f>
        <v>Increase</v>
      </c>
      <c r="J982" s="58"/>
      <c r="K982" s="59" t="str">
        <f>IF(LEN(J982)&gt;0,IF(OR(ISLOGICAL(J982),J982="TRUE"),"Yes",""),"")</f>
      </c>
      <c r="L982" s="59"/>
      <c r="M982" s="59"/>
      <c r="N982" s="62" t="str">
        <f>IF(LEN(M982)&gt;0,IF(OR(ISLOGICAL(M982),M982="TRUE"),"Yes",""),"")</f>
      </c>
      <c r="O982" s="59"/>
      <c r="P982" s="62" t="str">
        <f>IF(LEN(O982)&gt;0,IF(OR(ISLOGICAL(O982),O982="TRUE"),"Yes",""),"")</f>
      </c>
      <c r="Q982" s="62" t="s">
        <v>104</v>
      </c>
      <c r="R982" s="63"/>
    </row>
    <row r="983" spans="1:18" s="47" customFormat="1" ht="51">
      <c r="A983" s="63" t="s">
        <v>2040</v>
      </c>
      <c r="B983" s="63" t="s">
        <v>96</v>
      </c>
      <c r="C983" s="63" t="s">
        <v>2041</v>
      </c>
      <c r="D983" s="61"/>
      <c r="E983" s="45">
        <v>0.018</v>
      </c>
      <c r="F983" s="45">
        <v>0.018</v>
      </c>
      <c r="G983" s="66">
        <v>46022</v>
      </c>
      <c r="H983" s="45" t="str">
        <f>IF(ISNUMBER(E983),F983-E983,"N/A")</f>
        <v>N/A</v>
      </c>
      <c r="I983" s="46" t="str">
        <f>IF(E983&lt;&gt;"",IF(F983=E983,"No Change",IF(F983&gt;E983,"Increase","Decrease")),"New")</f>
        <v>Increase</v>
      </c>
      <c r="J983" s="58" t="s">
        <v>122</v>
      </c>
      <c r="K983" s="59" t="str">
        <f>IF(LEN(J983)&gt;0,IF(OR(ISLOGICAL(J983),J983="TRUE"),"Yes",""),"")</f>
      </c>
      <c r="L983" s="59"/>
      <c r="M983" s="59"/>
      <c r="N983" s="62" t="str">
        <f>IF(LEN(M983)&gt;0,IF(OR(ISLOGICAL(M983),M983="TRUE"),"Yes",""),"")</f>
      </c>
      <c r="O983" s="59"/>
      <c r="P983" s="62" t="str">
        <f>IF(LEN(O983)&gt;0,IF(OR(ISLOGICAL(O983),O983="TRUE"),"Yes",""),"")</f>
      </c>
      <c r="Q983" s="62" t="s">
        <v>104</v>
      </c>
      <c r="R983" s="63"/>
    </row>
    <row r="984" spans="1:18" s="47" customFormat="1" ht="51">
      <c r="A984" s="63" t="s">
        <v>2042</v>
      </c>
      <c r="B984" s="63" t="s">
        <v>96</v>
      </c>
      <c r="C984" s="63" t="s">
        <v>2043</v>
      </c>
      <c r="D984" s="61"/>
      <c r="E984" s="45">
        <v>0.018</v>
      </c>
      <c r="F984" s="45">
        <v>0.018</v>
      </c>
      <c r="G984" s="66">
        <v>46022</v>
      </c>
      <c r="H984" s="45" t="str">
        <f>IF(ISNUMBER(E984),F984-E984,"N/A")</f>
        <v>N/A</v>
      </c>
      <c r="I984" s="46" t="str">
        <f>IF(E984&lt;&gt;"",IF(F984=E984,"No Change",IF(F984&gt;E984,"Increase","Decrease")),"New")</f>
        <v>Increase</v>
      </c>
      <c r="J984" s="58"/>
      <c r="K984" s="59" t="str">
        <f>IF(LEN(J984)&gt;0,IF(OR(ISLOGICAL(J984),J984="TRUE"),"Yes",""),"")</f>
      </c>
      <c r="L984" s="59"/>
      <c r="M984" s="59"/>
      <c r="N984" s="62" t="str">
        <f>IF(LEN(M984)&gt;0,IF(OR(ISLOGICAL(M984),M984="TRUE"),"Yes",""),"")</f>
      </c>
      <c r="O984" s="59"/>
      <c r="P984" s="62" t="str">
        <f>IF(LEN(O984)&gt;0,IF(OR(ISLOGICAL(O984),O984="TRUE"),"Yes",""),"")</f>
      </c>
      <c r="Q984" s="62" t="s">
        <v>104</v>
      </c>
      <c r="R984" s="63"/>
    </row>
    <row r="985" spans="1:18" s="47" customFormat="1" ht="51">
      <c r="A985" s="63" t="s">
        <v>2044</v>
      </c>
      <c r="B985" s="63" t="s">
        <v>96</v>
      </c>
      <c r="C985" s="63" t="s">
        <v>2045</v>
      </c>
      <c r="D985" s="61"/>
      <c r="E985" s="45">
        <v>0.15</v>
      </c>
      <c r="F985" s="45">
        <v>0.15</v>
      </c>
      <c r="G985" s="66">
        <v>46078</v>
      </c>
      <c r="H985" s="45" t="str">
        <f>IF(ISNUMBER(E985),F985-E985,"N/A")</f>
        <v>N/A</v>
      </c>
      <c r="I985" s="46" t="str">
        <f>IF(E985&lt;&gt;"",IF(F985=E985,"No Change",IF(F985&gt;E985,"Increase","Decrease")),"New")</f>
        <v>Increase</v>
      </c>
      <c r="J985" s="58"/>
      <c r="K985" s="59" t="str">
        <f>IF(LEN(J985)&gt;0,IF(OR(ISLOGICAL(J985),J985="TRUE"),"Yes",""),"")</f>
      </c>
      <c r="L985" s="59"/>
      <c r="M985" s="59"/>
      <c r="N985" s="62" t="str">
        <f>IF(LEN(M985)&gt;0,IF(OR(ISLOGICAL(M985),M985="TRUE"),"Yes",""),"")</f>
      </c>
      <c r="O985" s="59"/>
      <c r="P985" s="62" t="str">
        <f>IF(LEN(O985)&gt;0,IF(OR(ISLOGICAL(O985),O985="TRUE"),"Yes",""),"")</f>
      </c>
      <c r="Q985" s="62" t="s">
        <v>98</v>
      </c>
      <c r="R985" s="63"/>
    </row>
    <row r="986" spans="1:18" s="47" customFormat="1" ht="51">
      <c r="A986" s="63" t="s">
        <v>2046</v>
      </c>
      <c r="B986" s="63" t="s">
        <v>96</v>
      </c>
      <c r="C986" s="63" t="s">
        <v>2047</v>
      </c>
      <c r="D986" s="61"/>
      <c r="E986" s="45">
        <v>0.15</v>
      </c>
      <c r="F986" s="45">
        <v>0.15</v>
      </c>
      <c r="G986" s="66">
        <v>46078</v>
      </c>
      <c r="H986" s="45" t="str">
        <f>IF(ISNUMBER(E986),F986-E986,"N/A")</f>
        <v>N/A</v>
      </c>
      <c r="I986" s="46" t="str">
        <f>IF(E986&lt;&gt;"",IF(F986=E986,"No Change",IF(F986&gt;E986,"Increase","Decrease")),"New")</f>
        <v>Increase</v>
      </c>
      <c r="J986" s="58"/>
      <c r="K986" s="59" t="str">
        <f>IF(LEN(J986)&gt;0,IF(OR(ISLOGICAL(J986),J986="TRUE"),"Yes",""),"")</f>
      </c>
      <c r="L986" s="59"/>
      <c r="M986" s="59"/>
      <c r="N986" s="62" t="str">
        <f>IF(LEN(M986)&gt;0,IF(OR(ISLOGICAL(M986),M986="TRUE"),"Yes",""),"")</f>
      </c>
      <c r="O986" s="59"/>
      <c r="P986" s="62" t="str">
        <f>IF(LEN(O986)&gt;0,IF(OR(ISLOGICAL(O986),O986="TRUE"),"Yes",""),"")</f>
      </c>
      <c r="Q986" s="62" t="s">
        <v>98</v>
      </c>
      <c r="R986" s="63"/>
    </row>
    <row r="987" spans="1:18" s="47" customFormat="1" ht="51">
      <c r="A987" s="63" t="s">
        <v>2048</v>
      </c>
      <c r="B987" s="63" t="s">
        <v>96</v>
      </c>
      <c r="C987" s="63" t="s">
        <v>2049</v>
      </c>
      <c r="D987" s="61"/>
      <c r="E987" s="45">
        <v>0.15</v>
      </c>
      <c r="F987" s="45">
        <v>0.15</v>
      </c>
      <c r="G987" s="66">
        <v>46082</v>
      </c>
      <c r="H987" s="45" t="str">
        <f>IF(ISNUMBER(E987),F987-E987,"N/A")</f>
        <v>N/A</v>
      </c>
      <c r="I987" s="46" t="str">
        <f>IF(E987&lt;&gt;"",IF(F987=E987,"No Change",IF(F987&gt;E987,"Increase","Decrease")),"New")</f>
        <v>Increase</v>
      </c>
      <c r="J987" s="58"/>
      <c r="K987" s="59" t="str">
        <f>IF(LEN(J987)&gt;0,IF(OR(ISLOGICAL(J987),J987="TRUE"),"Yes",""),"")</f>
      </c>
      <c r="L987" s="59"/>
      <c r="M987" s="59"/>
      <c r="N987" s="62" t="str">
        <f>IF(LEN(M987)&gt;0,IF(OR(ISLOGICAL(M987),M987="TRUE"),"Yes",""),"")</f>
      </c>
      <c r="O987" s="59"/>
      <c r="P987" s="62" t="str">
        <f>IF(LEN(O987)&gt;0,IF(OR(ISLOGICAL(O987),O987="TRUE"),"Yes",""),"")</f>
      </c>
      <c r="Q987" s="62" t="s">
        <v>98</v>
      </c>
      <c r="R987" s="63"/>
    </row>
    <row r="988" spans="1:18" s="47" customFormat="1" ht="51">
      <c r="A988" s="63" t="s">
        <v>2050</v>
      </c>
      <c r="B988" s="63" t="s">
        <v>96</v>
      </c>
      <c r="C988" s="63" t="s">
        <v>2051</v>
      </c>
      <c r="D988" s="61"/>
      <c r="E988" s="45">
        <v>0.15</v>
      </c>
      <c r="F988" s="45">
        <v>0.15</v>
      </c>
      <c r="G988" s="66">
        <v>46082</v>
      </c>
      <c r="H988" s="45" t="str">
        <f>IF(ISNUMBER(E988),F988-E988,"N/A")</f>
        <v>N/A</v>
      </c>
      <c r="I988" s="46" t="str">
        <f>IF(E988&lt;&gt;"",IF(F988=E988,"No Change",IF(F988&gt;E988,"Increase","Decrease")),"New")</f>
        <v>Increase</v>
      </c>
      <c r="J988" s="58"/>
      <c r="K988" s="59" t="str">
        <f>IF(LEN(J988)&gt;0,IF(OR(ISLOGICAL(J988),J988="TRUE"),"Yes",""),"")</f>
      </c>
      <c r="L988" s="59"/>
      <c r="M988" s="59"/>
      <c r="N988" s="62" t="str">
        <f>IF(LEN(M988)&gt;0,IF(OR(ISLOGICAL(M988),M988="TRUE"),"Yes",""),"")</f>
      </c>
      <c r="O988" s="59"/>
      <c r="P988" s="62" t="str">
        <f>IF(LEN(O988)&gt;0,IF(OR(ISLOGICAL(O988),O988="TRUE"),"Yes",""),"")</f>
      </c>
      <c r="Q988" s="62" t="s">
        <v>98</v>
      </c>
      <c r="R988" s="63"/>
    </row>
    <row r="989" spans="1:18" s="47" customFormat="1" ht="51">
      <c r="A989" s="63" t="s">
        <v>2052</v>
      </c>
      <c r="B989" s="63" t="s">
        <v>96</v>
      </c>
      <c r="C989" s="63" t="s">
        <v>2053</v>
      </c>
      <c r="D989" s="61"/>
      <c r="E989" s="45">
        <v>0.15</v>
      </c>
      <c r="F989" s="45">
        <v>0.15</v>
      </c>
      <c r="G989" s="66">
        <v>46082</v>
      </c>
      <c r="H989" s="45" t="str">
        <f>IF(ISNUMBER(E989),F989-E989,"N/A")</f>
        <v>N/A</v>
      </c>
      <c r="I989" s="46" t="str">
        <f>IF(E989&lt;&gt;"",IF(F989=E989,"No Change",IF(F989&gt;E989,"Increase","Decrease")),"New")</f>
        <v>Increase</v>
      </c>
      <c r="J989" s="58"/>
      <c r="K989" s="59" t="str">
        <f>IF(LEN(J989)&gt;0,IF(OR(ISLOGICAL(J989),J989="TRUE"),"Yes",""),"")</f>
      </c>
      <c r="L989" s="59"/>
      <c r="M989" s="59"/>
      <c r="N989" s="62" t="str">
        <f>IF(LEN(M989)&gt;0,IF(OR(ISLOGICAL(M989),M989="TRUE"),"Yes",""),"")</f>
      </c>
      <c r="O989" s="59"/>
      <c r="P989" s="62" t="str">
        <f>IF(LEN(O989)&gt;0,IF(OR(ISLOGICAL(O989),O989="TRUE"),"Yes",""),"")</f>
      </c>
      <c r="Q989" s="62" t="s">
        <v>98</v>
      </c>
      <c r="R989" s="63"/>
    </row>
    <row r="990" spans="1:18" s="47" customFormat="1" ht="51">
      <c r="A990" s="63" t="s">
        <v>2054</v>
      </c>
      <c r="B990" s="63" t="s">
        <v>96</v>
      </c>
      <c r="C990" s="63" t="s">
        <v>2055</v>
      </c>
      <c r="D990" s="61"/>
      <c r="E990" s="45">
        <v>0.0025</v>
      </c>
      <c r="F990" s="45">
        <v>0.0025</v>
      </c>
      <c r="G990" s="66">
        <v>46078</v>
      </c>
      <c r="H990" s="45" t="str">
        <f>IF(ISNUMBER(E990),F990-E990,"N/A")</f>
        <v>N/A</v>
      </c>
      <c r="I990" s="46" t="str">
        <f>IF(E990&lt;&gt;"",IF(F990=E990,"No Change",IF(F990&gt;E990,"Increase","Decrease")),"New")</f>
        <v>Increase</v>
      </c>
      <c r="J990" s="58"/>
      <c r="K990" s="59" t="str">
        <f>IF(LEN(J990)&gt;0,IF(OR(ISLOGICAL(J990),J990="TRUE"),"Yes",""),"")</f>
      </c>
      <c r="L990" s="59"/>
      <c r="M990" s="59"/>
      <c r="N990" s="62" t="str">
        <f>IF(LEN(M990)&gt;0,IF(OR(ISLOGICAL(M990),M990="TRUE"),"Yes",""),"")</f>
      </c>
      <c r="O990" s="59"/>
      <c r="P990" s="62" t="str">
        <f>IF(LEN(O990)&gt;0,IF(OR(ISLOGICAL(O990),O990="TRUE"),"Yes",""),"")</f>
      </c>
      <c r="Q990" s="62" t="s">
        <v>98</v>
      </c>
      <c r="R990" s="63"/>
    </row>
    <row r="991" spans="1:18" s="47" customFormat="1" ht="51">
      <c r="A991" s="63" t="s">
        <v>2056</v>
      </c>
      <c r="B991" s="63" t="s">
        <v>96</v>
      </c>
      <c r="C991" s="63" t="s">
        <v>2057</v>
      </c>
      <c r="D991" s="61"/>
      <c r="E991" s="45">
        <v>0.058</v>
      </c>
      <c r="F991" s="45">
        <v>0.058</v>
      </c>
      <c r="G991" s="66">
        <v>46099</v>
      </c>
      <c r="H991" s="45" t="str">
        <f>IF(ISNUMBER(E991),F991-E991,"N/A")</f>
        <v>N/A</v>
      </c>
      <c r="I991" s="46" t="str">
        <f>IF(E991&lt;&gt;"",IF(F991=E991,"No Change",IF(F991&gt;E991,"Increase","Decrease")),"New")</f>
        <v>Increase</v>
      </c>
      <c r="J991" s="58"/>
      <c r="K991" s="59" t="str">
        <f>IF(LEN(J991)&gt;0,IF(OR(ISLOGICAL(J991),J991="TRUE"),"Yes",""),"")</f>
      </c>
      <c r="L991" s="59"/>
      <c r="M991" s="59"/>
      <c r="N991" s="62" t="str">
        <f>IF(LEN(M991)&gt;0,IF(OR(ISLOGICAL(M991),M991="TRUE"),"Yes",""),"")</f>
      </c>
      <c r="O991" s="59"/>
      <c r="P991" s="62" t="str">
        <f>IF(LEN(O991)&gt;0,IF(OR(ISLOGICAL(O991),O991="TRUE"),"Yes",""),"")</f>
      </c>
      <c r="Q991" s="62" t="s">
        <v>98</v>
      </c>
      <c r="R991" s="63"/>
    </row>
    <row r="992" spans="1:18" s="47" customFormat="1" ht="51">
      <c r="A992" s="63" t="s">
        <v>2058</v>
      </c>
      <c r="B992" s="63" t="s">
        <v>96</v>
      </c>
      <c r="C992" s="63" t="s">
        <v>2059</v>
      </c>
      <c r="D992" s="61"/>
      <c r="E992" s="45">
        <v>0.058</v>
      </c>
      <c r="F992" s="45">
        <v>0.058</v>
      </c>
      <c r="G992" s="66">
        <v>46099</v>
      </c>
      <c r="H992" s="45" t="str">
        <f>IF(ISNUMBER(E992),F992-E992,"N/A")</f>
        <v>N/A</v>
      </c>
      <c r="I992" s="46" t="str">
        <f>IF(E992&lt;&gt;"",IF(F992=E992,"No Change",IF(F992&gt;E992,"Increase","Decrease")),"New")</f>
        <v>Increase</v>
      </c>
      <c r="J992" s="58"/>
      <c r="K992" s="59" t="str">
        <f>IF(LEN(J992)&gt;0,IF(OR(ISLOGICAL(J992),J992="TRUE"),"Yes",""),"")</f>
      </c>
      <c r="L992" s="59"/>
      <c r="M992" s="59"/>
      <c r="N992" s="62" t="str">
        <f>IF(LEN(M992)&gt;0,IF(OR(ISLOGICAL(M992),M992="TRUE"),"Yes",""),"")</f>
      </c>
      <c r="O992" s="59"/>
      <c r="P992" s="62" t="str">
        <f>IF(LEN(O992)&gt;0,IF(OR(ISLOGICAL(O992),O992="TRUE"),"Yes",""),"")</f>
      </c>
      <c r="Q992" s="62" t="s">
        <v>98</v>
      </c>
      <c r="R992" s="63"/>
    </row>
    <row r="993" spans="1:18" s="47" customFormat="1" ht="51">
      <c r="A993" s="63" t="s">
        <v>2060</v>
      </c>
      <c r="B993" s="63" t="s">
        <v>96</v>
      </c>
      <c r="C993" s="63" t="s">
        <v>2061</v>
      </c>
      <c r="D993" s="61"/>
      <c r="E993" s="45">
        <v>0.058</v>
      </c>
      <c r="F993" s="45">
        <v>0.058</v>
      </c>
      <c r="G993" s="66">
        <v>46099</v>
      </c>
      <c r="H993" s="45" t="str">
        <f>IF(ISNUMBER(E993),F993-E993,"N/A")</f>
        <v>N/A</v>
      </c>
      <c r="I993" s="46" t="str">
        <f>IF(E993&lt;&gt;"",IF(F993=E993,"No Change",IF(F993&gt;E993,"Increase","Decrease")),"New")</f>
        <v>Increase</v>
      </c>
      <c r="J993" s="58" t="s">
        <v>122</v>
      </c>
      <c r="K993" s="59" t="str">
        <f>IF(LEN(J993)&gt;0,IF(OR(ISLOGICAL(J993),J993="TRUE"),"Yes",""),"")</f>
      </c>
      <c r="L993" s="59"/>
      <c r="M993" s="59"/>
      <c r="N993" s="62" t="str">
        <f>IF(LEN(M993)&gt;0,IF(OR(ISLOGICAL(M993),M993="TRUE"),"Yes",""),"")</f>
      </c>
      <c r="O993" s="59"/>
      <c r="P993" s="62" t="str">
        <f>IF(LEN(O993)&gt;0,IF(OR(ISLOGICAL(O993),O993="TRUE"),"Yes",""),"")</f>
      </c>
      <c r="Q993" s="62" t="s">
        <v>98</v>
      </c>
      <c r="R993" s="63"/>
    </row>
    <row r="994" spans="1:18" s="47" customFormat="1" ht="51">
      <c r="A994" s="63" t="s">
        <v>2062</v>
      </c>
      <c r="B994" s="63" t="s">
        <v>96</v>
      </c>
      <c r="C994" s="63" t="s">
        <v>2063</v>
      </c>
      <c r="D994" s="61"/>
      <c r="E994" s="45">
        <v>0.058</v>
      </c>
      <c r="F994" s="45">
        <v>0.058</v>
      </c>
      <c r="G994" s="66">
        <v>46099</v>
      </c>
      <c r="H994" s="45" t="str">
        <f>IF(ISNUMBER(E994),F994-E994,"N/A")</f>
        <v>N/A</v>
      </c>
      <c r="I994" s="46" t="str">
        <f>IF(E994&lt;&gt;"",IF(F994=E994,"No Change",IF(F994&gt;E994,"Increase","Decrease")),"New")</f>
        <v>Increase</v>
      </c>
      <c r="J994" s="58" t="s">
        <v>122</v>
      </c>
      <c r="K994" s="59" t="str">
        <f>IF(LEN(J994)&gt;0,IF(OR(ISLOGICAL(J994),J994="TRUE"),"Yes",""),"")</f>
      </c>
      <c r="L994" s="59"/>
      <c r="M994" s="59"/>
      <c r="N994" s="62" t="str">
        <f>IF(LEN(M994)&gt;0,IF(OR(ISLOGICAL(M994),M994="TRUE"),"Yes",""),"")</f>
      </c>
      <c r="O994" s="59"/>
      <c r="P994" s="62" t="str">
        <f>IF(LEN(O994)&gt;0,IF(OR(ISLOGICAL(O994),O994="TRUE"),"Yes",""),"")</f>
      </c>
      <c r="Q994" s="62" t="s">
        <v>98</v>
      </c>
      <c r="R994" s="63"/>
    </row>
    <row r="995" spans="1:18" s="47" customFormat="1" ht="51">
      <c r="A995" s="63" t="s">
        <v>2064</v>
      </c>
      <c r="B995" s="63" t="s">
        <v>96</v>
      </c>
      <c r="C995" s="63" t="s">
        <v>2065</v>
      </c>
      <c r="D995" s="61"/>
      <c r="E995" s="45">
        <v>0.0025</v>
      </c>
      <c r="F995" s="45">
        <v>0.0025</v>
      </c>
      <c r="G995" s="66">
        <v>46082</v>
      </c>
      <c r="H995" s="45" t="str">
        <f>IF(ISNUMBER(E995),F995-E995,"N/A")</f>
        <v>N/A</v>
      </c>
      <c r="I995" s="46" t="str">
        <f>IF(E995&lt;&gt;"",IF(F995=E995,"No Change",IF(F995&gt;E995,"Increase","Decrease")),"New")</f>
        <v>Increase</v>
      </c>
      <c r="J995" s="58"/>
      <c r="K995" s="59" t="str">
        <f>IF(LEN(J995)&gt;0,IF(OR(ISLOGICAL(J995),J995="TRUE"),"Yes",""),"")</f>
      </c>
      <c r="L995" s="59"/>
      <c r="M995" s="59"/>
      <c r="N995" s="62" t="str">
        <f>IF(LEN(M995)&gt;0,IF(OR(ISLOGICAL(M995),M995="TRUE"),"Yes",""),"")</f>
      </c>
      <c r="O995" s="59"/>
      <c r="P995" s="62" t="str">
        <f>IF(LEN(O995)&gt;0,IF(OR(ISLOGICAL(O995),O995="TRUE"),"Yes",""),"")</f>
      </c>
      <c r="Q995" s="62" t="s">
        <v>98</v>
      </c>
      <c r="R995" s="63"/>
    </row>
    <row r="996" spans="1:18" s="47" customFormat="1" ht="51">
      <c r="A996" s="63" t="s">
        <v>2066</v>
      </c>
      <c r="B996" s="63" t="s">
        <v>96</v>
      </c>
      <c r="C996" s="63" t="s">
        <v>2067</v>
      </c>
      <c r="D996" s="61"/>
      <c r="E996" s="45">
        <v>0.192</v>
      </c>
      <c r="F996" s="45">
        <v>0.192</v>
      </c>
      <c r="G996" s="66">
        <v>46078</v>
      </c>
      <c r="H996" s="45" t="str">
        <f>IF(ISNUMBER(E996),F996-E996,"N/A")</f>
        <v>N/A</v>
      </c>
      <c r="I996" s="46" t="str">
        <f>IF(E996&lt;&gt;"",IF(F996=E996,"No Change",IF(F996&gt;E996,"Increase","Decrease")),"New")</f>
        <v>Increase</v>
      </c>
      <c r="J996" s="58"/>
      <c r="K996" s="59" t="str">
        <f>IF(LEN(J996)&gt;0,IF(OR(ISLOGICAL(J996),J996="TRUE"),"Yes",""),"")</f>
      </c>
      <c r="L996" s="59"/>
      <c r="M996" s="59"/>
      <c r="N996" s="62" t="str">
        <f>IF(LEN(M996)&gt;0,IF(OR(ISLOGICAL(M996),M996="TRUE"),"Yes",""),"")</f>
      </c>
      <c r="O996" s="59"/>
      <c r="P996" s="62" t="str">
        <f>IF(LEN(O996)&gt;0,IF(OR(ISLOGICAL(O996),O996="TRUE"),"Yes",""),"")</f>
      </c>
      <c r="Q996" s="62" t="s">
        <v>98</v>
      </c>
      <c r="R996" s="63"/>
    </row>
    <row r="997" spans="1:18" s="47" customFormat="1" ht="51">
      <c r="A997" s="63" t="s">
        <v>2068</v>
      </c>
      <c r="B997" s="63" t="s">
        <v>96</v>
      </c>
      <c r="C997" s="63" t="s">
        <v>2069</v>
      </c>
      <c r="D997" s="61"/>
      <c r="E997" s="45">
        <v>0.192</v>
      </c>
      <c r="F997" s="45">
        <v>0.394</v>
      </c>
      <c r="G997" s="66">
        <v>46148</v>
      </c>
      <c r="H997" s="45" t="str">
        <f>IF(ISNUMBER(E997),F997-E997,"N/A")</f>
        <v>N/A</v>
      </c>
      <c r="I997" s="46" t="str">
        <f>IF(E997&lt;&gt;"",IF(F997=E997,"No Change",IF(F997&gt;E997,"Increase","Decrease")),"New")</f>
        <v>Increase</v>
      </c>
      <c r="J997" s="58"/>
      <c r="K997" s="59" t="str">
        <f>IF(LEN(J997)&gt;0,IF(OR(ISLOGICAL(J997),J997="TRUE"),"Yes",""),"")</f>
      </c>
      <c r="L997" s="59"/>
      <c r="M997" s="59"/>
      <c r="N997" s="62" t="str">
        <f>IF(LEN(M997)&gt;0,IF(OR(ISLOGICAL(M997),M997="TRUE"),"Yes",""),"")</f>
      </c>
      <c r="O997" s="59"/>
      <c r="P997" s="62" t="str">
        <f>IF(LEN(O997)&gt;0,IF(OR(ISLOGICAL(O997),O997="TRUE"),"Yes",""),"")</f>
      </c>
      <c r="Q997" s="62" t="s">
        <v>98</v>
      </c>
      <c r="R997" s="63"/>
    </row>
    <row r="998" spans="1:18" s="47" customFormat="1" ht="51">
      <c r="A998" s="63" t="s">
        <v>2070</v>
      </c>
      <c r="B998" s="63" t="s">
        <v>96</v>
      </c>
      <c r="C998" s="63" t="s">
        <v>2071</v>
      </c>
      <c r="D998" s="61"/>
      <c r="E998" s="45">
        <v>0.394</v>
      </c>
      <c r="F998" s="45">
        <v>0.394</v>
      </c>
      <c r="G998" s="66">
        <v>45924</v>
      </c>
      <c r="H998" s="45" t="str">
        <f>IF(ISNUMBER(E998),F998-E998,"N/A")</f>
        <v>N/A</v>
      </c>
      <c r="I998" s="46" t="str">
        <f>IF(E998&lt;&gt;"",IF(F998=E998,"No Change",IF(F998&gt;E998,"Increase","Decrease")),"New")</f>
        <v>Increase</v>
      </c>
      <c r="J998" s="58" t="s">
        <v>122</v>
      </c>
      <c r="K998" s="59" t="str">
        <f>IF(LEN(J998)&gt;0,IF(OR(ISLOGICAL(J998),J998="TRUE"),"Yes",""),"")</f>
      </c>
      <c r="L998" s="59"/>
      <c r="M998" s="59"/>
      <c r="N998" s="62" t="str">
        <f>IF(LEN(M998)&gt;0,IF(OR(ISLOGICAL(M998),M998="TRUE"),"Yes",""),"")</f>
      </c>
      <c r="O998" s="59"/>
      <c r="P998" s="62" t="str">
        <f>IF(LEN(O998)&gt;0,IF(OR(ISLOGICAL(O998),O998="TRUE"),"Yes",""),"")</f>
      </c>
      <c r="Q998" s="62" t="s">
        <v>98</v>
      </c>
      <c r="R998" s="63"/>
    </row>
    <row r="999" spans="1:18" s="47" customFormat="1" ht="51">
      <c r="A999" s="63" t="s">
        <v>2072</v>
      </c>
      <c r="B999" s="63" t="s">
        <v>96</v>
      </c>
      <c r="C999" s="63" t="s">
        <v>2073</v>
      </c>
      <c r="D999" s="61"/>
      <c r="E999" s="45">
        <v>0.394</v>
      </c>
      <c r="F999" s="45">
        <v>0.394</v>
      </c>
      <c r="G999" s="66">
        <v>46082</v>
      </c>
      <c r="H999" s="45" t="str">
        <f>IF(ISNUMBER(E999),F999-E999,"N/A")</f>
        <v>N/A</v>
      </c>
      <c r="I999" s="46" t="str">
        <f>IF(E999&lt;&gt;"",IF(F999=E999,"No Change",IF(F999&gt;E999,"Increase","Decrease")),"New")</f>
        <v>Increase</v>
      </c>
      <c r="J999" s="58" t="s">
        <v>122</v>
      </c>
      <c r="K999" s="59" t="str">
        <f>IF(LEN(J999)&gt;0,IF(OR(ISLOGICAL(J999),J999="TRUE"),"Yes",""),"")</f>
      </c>
      <c r="L999" s="59"/>
      <c r="M999" s="59"/>
      <c r="N999" s="62" t="str">
        <f>IF(LEN(M999)&gt;0,IF(OR(ISLOGICAL(M999),M999="TRUE"),"Yes",""),"")</f>
      </c>
      <c r="O999" s="59"/>
      <c r="P999" s="62" t="str">
        <f>IF(LEN(O999)&gt;0,IF(OR(ISLOGICAL(O999),O999="TRUE"),"Yes",""),"")</f>
      </c>
      <c r="Q999" s="62" t="s">
        <v>98</v>
      </c>
      <c r="R999" s="63"/>
    </row>
    <row r="1000" spans="1:18" s="47" customFormat="1" ht="51">
      <c r="A1000" s="63" t="s">
        <v>2074</v>
      </c>
      <c r="B1000" s="63" t="s">
        <v>96</v>
      </c>
      <c r="C1000" s="63" t="s">
        <v>2075</v>
      </c>
      <c r="D1000" s="61"/>
      <c r="E1000" s="45">
        <v>0.394</v>
      </c>
      <c r="F1000" s="45">
        <v>0.394</v>
      </c>
      <c r="G1000" s="66">
        <v>46085</v>
      </c>
      <c r="H1000" s="45" t="str">
        <f>IF(ISNUMBER(E1000),F1000-E1000,"N/A")</f>
        <v>N/A</v>
      </c>
      <c r="I1000" s="46" t="str">
        <f>IF(E1000&lt;&gt;"",IF(F1000=E1000,"No Change",IF(F1000&gt;E1000,"Increase","Decrease")),"New")</f>
        <v>Increase</v>
      </c>
      <c r="J1000" s="58" t="s">
        <v>122</v>
      </c>
      <c r="K1000" s="59" t="str">
        <f>IF(LEN(J1000)&gt;0,IF(OR(ISLOGICAL(J1000),J1000="TRUE"),"Yes",""),"")</f>
      </c>
      <c r="L1000" s="59"/>
      <c r="M1000" s="59"/>
      <c r="N1000" s="62" t="str">
        <f>IF(LEN(M1000)&gt;0,IF(OR(ISLOGICAL(M1000),M1000="TRUE"),"Yes",""),"")</f>
      </c>
      <c r="O1000" s="59"/>
      <c r="P1000" s="62" t="str">
        <f>IF(LEN(O1000)&gt;0,IF(OR(ISLOGICAL(O1000),O1000="TRUE"),"Yes",""),"")</f>
      </c>
      <c r="Q1000" s="62" t="s">
        <v>98</v>
      </c>
      <c r="R1000" s="63"/>
    </row>
    <row r="1001" spans="1:18" s="47" customFormat="1" ht="51">
      <c r="A1001" s="63" t="s">
        <v>2076</v>
      </c>
      <c r="B1001" s="63" t="s">
        <v>96</v>
      </c>
      <c r="C1001" s="63" t="s">
        <v>2077</v>
      </c>
      <c r="D1001" s="61"/>
      <c r="E1001" s="45">
        <v>0.394</v>
      </c>
      <c r="F1001" s="45">
        <v>0.394</v>
      </c>
      <c r="G1001" s="66">
        <v>46082</v>
      </c>
      <c r="H1001" s="45" t="str">
        <f>IF(ISNUMBER(E1001),F1001-E1001,"N/A")</f>
        <v>N/A</v>
      </c>
      <c r="I1001" s="46" t="str">
        <f>IF(E1001&lt;&gt;"",IF(F1001=E1001,"No Change",IF(F1001&gt;E1001,"Increase","Decrease")),"New")</f>
        <v>Increase</v>
      </c>
      <c r="J1001" s="58"/>
      <c r="K1001" s="59" t="str">
        <f>IF(LEN(J1001)&gt;0,IF(OR(ISLOGICAL(J1001),J1001="TRUE"),"Yes",""),"")</f>
      </c>
      <c r="L1001" s="59"/>
      <c r="M1001" s="59"/>
      <c r="N1001" s="62" t="str">
        <f>IF(LEN(M1001)&gt;0,IF(OR(ISLOGICAL(M1001),M1001="TRUE"),"Yes",""),"")</f>
      </c>
      <c r="O1001" s="59"/>
      <c r="P1001" s="62" t="str">
        <f>IF(LEN(O1001)&gt;0,IF(OR(ISLOGICAL(O1001),O1001="TRUE"),"Yes",""),"")</f>
      </c>
      <c r="Q1001" s="62" t="s">
        <v>98</v>
      </c>
      <c r="R1001" s="63"/>
    </row>
    <row r="1002" spans="1:18" s="47" customFormat="1" ht="51">
      <c r="A1002" s="63" t="s">
        <v>2078</v>
      </c>
      <c r="B1002" s="63" t="s">
        <v>96</v>
      </c>
      <c r="C1002" s="63" t="s">
        <v>2079</v>
      </c>
      <c r="D1002" s="61"/>
      <c r="E1002" s="45">
        <v>0.5944</v>
      </c>
      <c r="F1002" s="45">
        <v>0.5944</v>
      </c>
      <c r="G1002" s="66">
        <v>45132</v>
      </c>
      <c r="H1002" s="45" t="str">
        <f>IF(ISNUMBER(E1002),F1002-E1002,"N/A")</f>
        <v>N/A</v>
      </c>
      <c r="I1002" s="46" t="str">
        <f>IF(E1002&lt;&gt;"",IF(F1002=E1002,"No Change",IF(F1002&gt;E1002,"Increase","Decrease")),"New")</f>
        <v>Increase</v>
      </c>
      <c r="J1002" s="58"/>
      <c r="K1002" s="59" t="str">
        <f>IF(LEN(J1002)&gt;0,IF(OR(ISLOGICAL(J1002),J1002="TRUE"),"Yes",""),"")</f>
      </c>
      <c r="L1002" s="59"/>
      <c r="M1002" s="59"/>
      <c r="N1002" s="62" t="str">
        <f>IF(LEN(M1002)&gt;0,IF(OR(ISLOGICAL(M1002),M1002="TRUE"),"Yes",""),"")</f>
      </c>
      <c r="O1002" s="59"/>
      <c r="P1002" s="62" t="str">
        <f>IF(LEN(O1002)&gt;0,IF(OR(ISLOGICAL(O1002),O1002="TRUE"),"Yes",""),"")</f>
      </c>
      <c r="Q1002" s="62" t="s">
        <v>109</v>
      </c>
      <c r="R1002" s="63"/>
    </row>
    <row r="1003" spans="1:18" s="47" customFormat="1" ht="51">
      <c r="A1003" s="63" t="s">
        <v>2080</v>
      </c>
      <c r="B1003" s="63" t="s">
        <v>96</v>
      </c>
      <c r="C1003" s="63" t="s">
        <v>2081</v>
      </c>
      <c r="D1003" s="61"/>
      <c r="E1003" s="45">
        <v>1</v>
      </c>
      <c r="F1003" s="45">
        <v>1</v>
      </c>
      <c r="G1003" s="66">
        <v>43992</v>
      </c>
      <c r="H1003" s="45" t="str">
        <f>IF(ISNUMBER(E1003),F1003-E1003,"N/A")</f>
        <v>N/A</v>
      </c>
      <c r="I1003" s="46" t="str">
        <f>IF(E1003&lt;&gt;"",IF(F1003=E1003,"No Change",IF(F1003&gt;E1003,"Increase","Decrease")),"New")</f>
        <v>Increase</v>
      </c>
      <c r="J1003" s="58"/>
      <c r="K1003" s="59" t="str">
        <f>IF(LEN(J1003)&gt;0,IF(OR(ISLOGICAL(J1003),J1003="TRUE"),"Yes",""),"")</f>
      </c>
      <c r="L1003" s="59"/>
      <c r="M1003" s="59"/>
      <c r="N1003" s="62" t="str">
        <f>IF(LEN(M1003)&gt;0,IF(OR(ISLOGICAL(M1003),M1003="TRUE"),"Yes",""),"")</f>
      </c>
      <c r="O1003" s="59"/>
      <c r="P1003" s="62" t="str">
        <f>IF(LEN(O1003)&gt;0,IF(OR(ISLOGICAL(O1003),O1003="TRUE"),"Yes",""),"")</f>
      </c>
      <c r="Q1003" s="62" t="s">
        <v>109</v>
      </c>
      <c r="R1003" s="63"/>
    </row>
    <row r="1004" spans="1:18" s="47" customFormat="1" ht="51">
      <c r="A1004" s="63" t="s">
        <v>2082</v>
      </c>
      <c r="B1004" s="63" t="s">
        <v>96</v>
      </c>
      <c r="C1004" s="63" t="s">
        <v>2083</v>
      </c>
      <c r="D1004" s="61"/>
      <c r="E1004" s="45">
        <v>1</v>
      </c>
      <c r="F1004" s="45">
        <v>1</v>
      </c>
      <c r="G1004" s="66">
        <v>45474</v>
      </c>
      <c r="H1004" s="45" t="str">
        <f>IF(ISNUMBER(E1004),F1004-E1004,"N/A")</f>
        <v>N/A</v>
      </c>
      <c r="I1004" s="46" t="str">
        <f>IF(E1004&lt;&gt;"",IF(F1004=E1004,"No Change",IF(F1004&gt;E1004,"Increase","Decrease")),"New")</f>
        <v>Increase</v>
      </c>
      <c r="J1004" s="58"/>
      <c r="K1004" s="59" t="str">
        <f>IF(LEN(J1004)&gt;0,IF(OR(ISLOGICAL(J1004),J1004="TRUE"),"Yes",""),"")</f>
      </c>
      <c r="L1004" s="59"/>
      <c r="M1004" s="59"/>
      <c r="N1004" s="62" t="str">
        <f>IF(LEN(M1004)&gt;0,IF(OR(ISLOGICAL(M1004),M1004="TRUE"),"Yes",""),"")</f>
      </c>
      <c r="O1004" s="59"/>
      <c r="P1004" s="62" t="str">
        <f>IF(LEN(O1004)&gt;0,IF(OR(ISLOGICAL(O1004),O1004="TRUE"),"Yes",""),"")</f>
      </c>
      <c r="Q1004" s="62" t="s">
        <v>109</v>
      </c>
      <c r="R1004" s="63"/>
    </row>
    <row r="1005" spans="1:18" s="47" customFormat="1" ht="51">
      <c r="A1005" s="63" t="s">
        <v>2084</v>
      </c>
      <c r="B1005" s="63" t="s">
        <v>96</v>
      </c>
      <c r="C1005" s="63" t="s">
        <v>2085</v>
      </c>
      <c r="D1005" s="61"/>
      <c r="E1005" s="45">
        <v>0.6999</v>
      </c>
      <c r="F1005" s="45">
        <v>0.6999</v>
      </c>
      <c r="G1005" s="66">
        <v>42979</v>
      </c>
      <c r="H1005" s="45" t="str">
        <f>IF(ISNUMBER(E1005),F1005-E1005,"N/A")</f>
        <v>N/A</v>
      </c>
      <c r="I1005" s="46" t="str">
        <f>IF(E1005&lt;&gt;"",IF(F1005=E1005,"No Change",IF(F1005&gt;E1005,"Increase","Decrease")),"New")</f>
        <v>Increase</v>
      </c>
      <c r="J1005" s="58" t="s">
        <v>122</v>
      </c>
      <c r="K1005" s="59" t="str">
        <f>IF(LEN(J1005)&gt;0,IF(OR(ISLOGICAL(J1005),J1005="TRUE"),"Yes",""),"")</f>
      </c>
      <c r="L1005" s="59"/>
      <c r="M1005" s="59"/>
      <c r="N1005" s="62" t="str">
        <f>IF(LEN(M1005)&gt;0,IF(OR(ISLOGICAL(M1005),M1005="TRUE"),"Yes",""),"")</f>
      </c>
      <c r="O1005" s="59"/>
      <c r="P1005" s="62" t="str">
        <f>IF(LEN(O1005)&gt;0,IF(OR(ISLOGICAL(O1005),O1005="TRUE"),"Yes",""),"")</f>
      </c>
      <c r="Q1005" s="62" t="s">
        <v>109</v>
      </c>
      <c r="R1005" s="63"/>
    </row>
    <row r="1006" spans="1:18" s="47" customFormat="1" ht="51">
      <c r="A1006" s="63" t="s">
        <v>2086</v>
      </c>
      <c r="B1006" s="63" t="s">
        <v>96</v>
      </c>
      <c r="C1006" s="63" t="s">
        <v>2087</v>
      </c>
      <c r="D1006" s="61"/>
      <c r="E1006" s="45">
        <v>2.75</v>
      </c>
      <c r="F1006" s="45">
        <v>2.75</v>
      </c>
      <c r="G1006" s="66">
        <v>45474</v>
      </c>
      <c r="H1006" s="45" t="str">
        <f>IF(ISNUMBER(E1006),F1006-E1006,"N/A")</f>
        <v>N/A</v>
      </c>
      <c r="I1006" s="46" t="str">
        <f>IF(E1006&lt;&gt;"",IF(F1006=E1006,"No Change",IF(F1006&gt;E1006,"Increase","Decrease")),"New")</f>
        <v>Increase</v>
      </c>
      <c r="J1006" s="58"/>
      <c r="K1006" s="59" t="str">
        <f>IF(LEN(J1006)&gt;0,IF(OR(ISLOGICAL(J1006),J1006="TRUE"),"Yes",""),"")</f>
      </c>
      <c r="L1006" s="59"/>
      <c r="M1006" s="59"/>
      <c r="N1006" s="62" t="str">
        <f>IF(LEN(M1006)&gt;0,IF(OR(ISLOGICAL(M1006),M1006="TRUE"),"Yes",""),"")</f>
      </c>
      <c r="O1006" s="59"/>
      <c r="P1006" s="62" t="str">
        <f>IF(LEN(O1006)&gt;0,IF(OR(ISLOGICAL(O1006),O1006="TRUE"),"Yes",""),"")</f>
      </c>
      <c r="Q1006" s="62" t="s">
        <v>109</v>
      </c>
      <c r="R1006" s="63"/>
    </row>
    <row r="1007" spans="1:18" s="47" customFormat="1" ht="51">
      <c r="A1007" s="63" t="s">
        <v>2088</v>
      </c>
      <c r="B1007" s="63" t="s">
        <v>96</v>
      </c>
      <c r="C1007" s="63" t="s">
        <v>2089</v>
      </c>
      <c r="D1007" s="61"/>
      <c r="E1007" s="45">
        <v>2.75</v>
      </c>
      <c r="F1007" s="45">
        <v>2.75</v>
      </c>
      <c r="G1007" s="66">
        <v>45474</v>
      </c>
      <c r="H1007" s="45" t="str">
        <f>IF(ISNUMBER(E1007),F1007-E1007,"N/A")</f>
        <v>N/A</v>
      </c>
      <c r="I1007" s="46" t="str">
        <f>IF(E1007&lt;&gt;"",IF(F1007=E1007,"No Change",IF(F1007&gt;E1007,"Increase","Decrease")),"New")</f>
        <v>Increase</v>
      </c>
      <c r="J1007" s="58"/>
      <c r="K1007" s="59" t="str">
        <f>IF(LEN(J1007)&gt;0,IF(OR(ISLOGICAL(J1007),J1007="TRUE"),"Yes",""),"")</f>
      </c>
      <c r="L1007" s="59"/>
      <c r="M1007" s="59"/>
      <c r="N1007" s="62" t="str">
        <f>IF(LEN(M1007)&gt;0,IF(OR(ISLOGICAL(M1007),M1007="TRUE"),"Yes",""),"")</f>
      </c>
      <c r="O1007" s="59"/>
      <c r="P1007" s="62" t="str">
        <f>IF(LEN(O1007)&gt;0,IF(OR(ISLOGICAL(O1007),O1007="TRUE"),"Yes",""),"")</f>
      </c>
      <c r="Q1007" s="62" t="s">
        <v>109</v>
      </c>
      <c r="R1007" s="63"/>
    </row>
    <row r="1008" spans="1:18" s="47" customFormat="1" ht="51">
      <c r="A1008" s="63" t="s">
        <v>2090</v>
      </c>
      <c r="B1008" s="63" t="s">
        <v>96</v>
      </c>
      <c r="C1008" s="63" t="s">
        <v>2091</v>
      </c>
      <c r="D1008" s="61"/>
      <c r="E1008" s="45">
        <v>0.385</v>
      </c>
      <c r="F1008" s="45">
        <v>0.385</v>
      </c>
      <c r="G1008" s="66">
        <v>46092</v>
      </c>
      <c r="H1008" s="45" t="str">
        <f>IF(ISNUMBER(E1008),F1008-E1008,"N/A")</f>
        <v>N/A</v>
      </c>
      <c r="I1008" s="46" t="str">
        <f>IF(E1008&lt;&gt;"",IF(F1008=E1008,"No Change",IF(F1008&gt;E1008,"Increase","Decrease")),"New")</f>
        <v>Increase</v>
      </c>
      <c r="J1008" s="58"/>
      <c r="K1008" s="59" t="str">
        <f>IF(LEN(J1008)&gt;0,IF(OR(ISLOGICAL(J1008),J1008="TRUE"),"Yes",""),"")</f>
      </c>
      <c r="L1008" s="59"/>
      <c r="M1008" s="59"/>
      <c r="N1008" s="62" t="str">
        <f>IF(LEN(M1008)&gt;0,IF(OR(ISLOGICAL(M1008),M1008="TRUE"),"Yes",""),"")</f>
      </c>
      <c r="O1008" s="59"/>
      <c r="P1008" s="62" t="str">
        <f>IF(LEN(O1008)&gt;0,IF(OR(ISLOGICAL(O1008),O1008="TRUE"),"Yes",""),"")</f>
      </c>
      <c r="Q1008" s="62" t="s">
        <v>98</v>
      </c>
      <c r="R1008" s="63"/>
    </row>
    <row r="1009" spans="1:18" s="47" customFormat="1" ht="51">
      <c r="A1009" s="63" t="s">
        <v>2092</v>
      </c>
      <c r="B1009" s="63" t="s">
        <v>96</v>
      </c>
      <c r="C1009" s="63" t="s">
        <v>2093</v>
      </c>
      <c r="D1009" s="61"/>
      <c r="E1009" s="45">
        <v>0.208</v>
      </c>
      <c r="F1009" s="45">
        <v>0.208</v>
      </c>
      <c r="G1009" s="66">
        <v>46078</v>
      </c>
      <c r="H1009" s="45" t="str">
        <f>IF(ISNUMBER(E1009),F1009-E1009,"N/A")</f>
        <v>N/A</v>
      </c>
      <c r="I1009" s="46" t="str">
        <f>IF(E1009&lt;&gt;"",IF(F1009=E1009,"No Change",IF(F1009&gt;E1009,"Increase","Decrease")),"New")</f>
        <v>Increase</v>
      </c>
      <c r="J1009" s="58" t="s">
        <v>122</v>
      </c>
      <c r="K1009" s="59" t="str">
        <f>IF(LEN(J1009)&gt;0,IF(OR(ISLOGICAL(J1009),J1009="TRUE"),"Yes",""),"")</f>
      </c>
      <c r="L1009" s="59"/>
      <c r="M1009" s="59"/>
      <c r="N1009" s="62" t="str">
        <f>IF(LEN(M1009)&gt;0,IF(OR(ISLOGICAL(M1009),M1009="TRUE"),"Yes",""),"")</f>
      </c>
      <c r="O1009" s="59"/>
      <c r="P1009" s="62" t="str">
        <f>IF(LEN(O1009)&gt;0,IF(OR(ISLOGICAL(O1009),O1009="TRUE"),"Yes",""),"")</f>
      </c>
      <c r="Q1009" s="62" t="s">
        <v>98</v>
      </c>
      <c r="R1009" s="63"/>
    </row>
    <row r="1010" spans="1:18" s="47" customFormat="1" ht="51">
      <c r="A1010" s="63" t="s">
        <v>2094</v>
      </c>
      <c r="B1010" s="63" t="s">
        <v>96</v>
      </c>
      <c r="C1010" s="63" t="s">
        <v>2095</v>
      </c>
      <c r="D1010" s="61"/>
      <c r="E1010" s="45">
        <v>0.385</v>
      </c>
      <c r="F1010" s="45">
        <v>0.385</v>
      </c>
      <c r="G1010" s="66">
        <v>46082</v>
      </c>
      <c r="H1010" s="45" t="str">
        <f>IF(ISNUMBER(E1010),F1010-E1010,"N/A")</f>
        <v>N/A</v>
      </c>
      <c r="I1010" s="46" t="str">
        <f>IF(E1010&lt;&gt;"",IF(F1010=E1010,"No Change",IF(F1010&gt;E1010,"Increase","Decrease")),"New")</f>
        <v>Increase</v>
      </c>
      <c r="J1010" s="58"/>
      <c r="K1010" s="59" t="str">
        <f>IF(LEN(J1010)&gt;0,IF(OR(ISLOGICAL(J1010),J1010="TRUE"),"Yes",""),"")</f>
      </c>
      <c r="L1010" s="59"/>
      <c r="M1010" s="59"/>
      <c r="N1010" s="62" t="str">
        <f>IF(LEN(M1010)&gt;0,IF(OR(ISLOGICAL(M1010),M1010="TRUE"),"Yes",""),"")</f>
      </c>
      <c r="O1010" s="59"/>
      <c r="P1010" s="62" t="str">
        <f>IF(LEN(O1010)&gt;0,IF(OR(ISLOGICAL(O1010),O1010="TRUE"),"Yes",""),"")</f>
      </c>
      <c r="Q1010" s="62" t="s">
        <v>98</v>
      </c>
      <c r="R1010" s="63"/>
    </row>
    <row r="1011" spans="1:18" s="47" customFormat="1" ht="51">
      <c r="A1011" s="63" t="s">
        <v>2096</v>
      </c>
      <c r="B1011" s="63" t="s">
        <v>96</v>
      </c>
      <c r="C1011" s="63" t="s">
        <v>2097</v>
      </c>
      <c r="D1011" s="61"/>
      <c r="E1011" s="45">
        <v>0.385</v>
      </c>
      <c r="F1011" s="45">
        <v>0.385</v>
      </c>
      <c r="G1011" s="66">
        <v>46082</v>
      </c>
      <c r="H1011" s="45" t="str">
        <f>IF(ISNUMBER(E1011),F1011-E1011,"N/A")</f>
        <v>N/A</v>
      </c>
      <c r="I1011" s="46" t="str">
        <f>IF(E1011&lt;&gt;"",IF(F1011=E1011,"No Change",IF(F1011&gt;E1011,"Increase","Decrease")),"New")</f>
        <v>Increase</v>
      </c>
      <c r="J1011" s="58"/>
      <c r="K1011" s="59" t="str">
        <f>IF(LEN(J1011)&gt;0,IF(OR(ISLOGICAL(J1011),J1011="TRUE"),"Yes",""),"")</f>
      </c>
      <c r="L1011" s="59"/>
      <c r="M1011" s="59"/>
      <c r="N1011" s="62" t="str">
        <f>IF(LEN(M1011)&gt;0,IF(OR(ISLOGICAL(M1011),M1011="TRUE"),"Yes",""),"")</f>
      </c>
      <c r="O1011" s="59"/>
      <c r="P1011" s="62" t="str">
        <f>IF(LEN(O1011)&gt;0,IF(OR(ISLOGICAL(O1011),O1011="TRUE"),"Yes",""),"")</f>
      </c>
      <c r="Q1011" s="62" t="s">
        <v>98</v>
      </c>
      <c r="R1011" s="63"/>
    </row>
    <row r="1012" spans="1:18" s="47" customFormat="1" ht="51">
      <c r="A1012" s="63" t="s">
        <v>2098</v>
      </c>
      <c r="B1012" s="63" t="s">
        <v>96</v>
      </c>
      <c r="C1012" s="63" t="s">
        <v>2099</v>
      </c>
      <c r="D1012" s="61"/>
      <c r="E1012" s="45">
        <v>0.415</v>
      </c>
      <c r="F1012" s="45">
        <v>0.415</v>
      </c>
      <c r="G1012" s="66">
        <v>46092</v>
      </c>
      <c r="H1012" s="45" t="str">
        <f>IF(ISNUMBER(E1012),F1012-E1012,"N/A")</f>
        <v>N/A</v>
      </c>
      <c r="I1012" s="46" t="str">
        <f>IF(E1012&lt;&gt;"",IF(F1012=E1012,"No Change",IF(F1012&gt;E1012,"Increase","Decrease")),"New")</f>
        <v>Increase</v>
      </c>
      <c r="J1012" s="58"/>
      <c r="K1012" s="59" t="str">
        <f>IF(LEN(J1012)&gt;0,IF(OR(ISLOGICAL(J1012),J1012="TRUE"),"Yes",""),"")</f>
      </c>
      <c r="L1012" s="59"/>
      <c r="M1012" s="59"/>
      <c r="N1012" s="62" t="str">
        <f>IF(LEN(M1012)&gt;0,IF(OR(ISLOGICAL(M1012),M1012="TRUE"),"Yes",""),"")</f>
      </c>
      <c r="O1012" s="59"/>
      <c r="P1012" s="62" t="str">
        <f>IF(LEN(O1012)&gt;0,IF(OR(ISLOGICAL(O1012),O1012="TRUE"),"Yes",""),"")</f>
      </c>
      <c r="Q1012" s="62" t="s">
        <v>98</v>
      </c>
      <c r="R1012" s="63"/>
    </row>
    <row r="1013" spans="1:18" s="47" customFormat="1" ht="51">
      <c r="A1013" s="63" t="s">
        <v>2100</v>
      </c>
      <c r="B1013" s="63" t="s">
        <v>96</v>
      </c>
      <c r="C1013" s="63" t="s">
        <v>2101</v>
      </c>
      <c r="D1013" s="61"/>
      <c r="E1013" s="45">
        <v>0.311</v>
      </c>
      <c r="F1013" s="45">
        <v>0.311</v>
      </c>
      <c r="G1013" s="66">
        <v>46082</v>
      </c>
      <c r="H1013" s="45" t="str">
        <f>IF(ISNUMBER(E1013),F1013-E1013,"N/A")</f>
        <v>N/A</v>
      </c>
      <c r="I1013" s="46" t="str">
        <f>IF(E1013&lt;&gt;"",IF(F1013=E1013,"No Change",IF(F1013&gt;E1013,"Increase","Decrease")),"New")</f>
        <v>Increase</v>
      </c>
      <c r="J1013" s="58"/>
      <c r="K1013" s="59" t="str">
        <f>IF(LEN(J1013)&gt;0,IF(OR(ISLOGICAL(J1013),J1013="TRUE"),"Yes",""),"")</f>
      </c>
      <c r="L1013" s="59"/>
      <c r="M1013" s="59"/>
      <c r="N1013" s="62" t="str">
        <f>IF(LEN(M1013)&gt;0,IF(OR(ISLOGICAL(M1013),M1013="TRUE"),"Yes",""),"")</f>
      </c>
      <c r="O1013" s="59"/>
      <c r="P1013" s="62" t="str">
        <f>IF(LEN(O1013)&gt;0,IF(OR(ISLOGICAL(O1013),O1013="TRUE"),"Yes",""),"")</f>
      </c>
      <c r="Q1013" s="62" t="s">
        <v>98</v>
      </c>
      <c r="R1013" s="63"/>
    </row>
    <row r="1014" spans="1:18" s="47" customFormat="1" ht="51">
      <c r="A1014" s="63" t="s">
        <v>2102</v>
      </c>
      <c r="B1014" s="63" t="s">
        <v>96</v>
      </c>
      <c r="C1014" s="63" t="s">
        <v>2103</v>
      </c>
      <c r="D1014" s="61"/>
      <c r="E1014" s="45">
        <v>0.45</v>
      </c>
      <c r="F1014" s="45">
        <v>0.45</v>
      </c>
      <c r="G1014" s="66">
        <v>46085</v>
      </c>
      <c r="H1014" s="45" t="str">
        <f>IF(ISNUMBER(E1014),F1014-E1014,"N/A")</f>
        <v>N/A</v>
      </c>
      <c r="I1014" s="46" t="str">
        <f>IF(E1014&lt;&gt;"",IF(F1014=E1014,"No Change",IF(F1014&gt;E1014,"Increase","Decrease")),"New")</f>
        <v>Increase</v>
      </c>
      <c r="J1014" s="58" t="s">
        <v>122</v>
      </c>
      <c r="K1014" s="59" t="str">
        <f>IF(LEN(J1014)&gt;0,IF(OR(ISLOGICAL(J1014),J1014="TRUE"),"Yes",""),"")</f>
      </c>
      <c r="L1014" s="59"/>
      <c r="M1014" s="59"/>
      <c r="N1014" s="62" t="str">
        <f>IF(LEN(M1014)&gt;0,IF(OR(ISLOGICAL(M1014),M1014="TRUE"),"Yes",""),"")</f>
      </c>
      <c r="O1014" s="59"/>
      <c r="P1014" s="62" t="str">
        <f>IF(LEN(O1014)&gt;0,IF(OR(ISLOGICAL(O1014),O1014="TRUE"),"Yes",""),"")</f>
      </c>
      <c r="Q1014" s="62" t="s">
        <v>98</v>
      </c>
      <c r="R1014" s="63"/>
    </row>
    <row r="1015" spans="1:18" s="47" customFormat="1" ht="51">
      <c r="A1015" s="63" t="s">
        <v>2104</v>
      </c>
      <c r="B1015" s="63" t="s">
        <v>96</v>
      </c>
      <c r="C1015" s="63" t="s">
        <v>2105</v>
      </c>
      <c r="D1015" s="61"/>
      <c r="E1015" s="45">
        <v>0.182</v>
      </c>
      <c r="F1015" s="45">
        <v>0.182</v>
      </c>
      <c r="G1015" s="66">
        <v>46078</v>
      </c>
      <c r="H1015" s="45" t="str">
        <f>IF(ISNUMBER(E1015),F1015-E1015,"N/A")</f>
        <v>N/A</v>
      </c>
      <c r="I1015" s="46" t="str">
        <f>IF(E1015&lt;&gt;"",IF(F1015=E1015,"No Change",IF(F1015&gt;E1015,"Increase","Decrease")),"New")</f>
        <v>Increase</v>
      </c>
      <c r="J1015" s="58"/>
      <c r="K1015" s="59" t="str">
        <f>IF(LEN(J1015)&gt;0,IF(OR(ISLOGICAL(J1015),J1015="TRUE"),"Yes",""),"")</f>
      </c>
      <c r="L1015" s="59"/>
      <c r="M1015" s="59"/>
      <c r="N1015" s="62" t="str">
        <f>IF(LEN(M1015)&gt;0,IF(OR(ISLOGICAL(M1015),M1015="TRUE"),"Yes",""),"")</f>
      </c>
      <c r="O1015" s="59"/>
      <c r="P1015" s="62" t="str">
        <f>IF(LEN(O1015)&gt;0,IF(OR(ISLOGICAL(O1015),O1015="TRUE"),"Yes",""),"")</f>
      </c>
      <c r="Q1015" s="62" t="s">
        <v>98</v>
      </c>
      <c r="R1015" s="63"/>
    </row>
    <row r="1016" spans="1:18" s="47" customFormat="1" ht="51">
      <c r="A1016" s="63" t="s">
        <v>2106</v>
      </c>
      <c r="B1016" s="63" t="s">
        <v>96</v>
      </c>
      <c r="C1016" s="63" t="s">
        <v>2107</v>
      </c>
      <c r="D1016" s="61"/>
      <c r="E1016" s="45">
        <v>0.385</v>
      </c>
      <c r="F1016" s="45">
        <v>0.385</v>
      </c>
      <c r="G1016" s="66">
        <v>46082</v>
      </c>
      <c r="H1016" s="45" t="str">
        <f>IF(ISNUMBER(E1016),F1016-E1016,"N/A")</f>
        <v>N/A</v>
      </c>
      <c r="I1016" s="46" t="str">
        <f>IF(E1016&lt;&gt;"",IF(F1016=E1016,"No Change",IF(F1016&gt;E1016,"Increase","Decrease")),"New")</f>
        <v>Increase</v>
      </c>
      <c r="J1016" s="58"/>
      <c r="K1016" s="59" t="str">
        <f>IF(LEN(J1016)&gt;0,IF(OR(ISLOGICAL(J1016),J1016="TRUE"),"Yes",""),"")</f>
      </c>
      <c r="L1016" s="59"/>
      <c r="M1016" s="59"/>
      <c r="N1016" s="62" t="str">
        <f>IF(LEN(M1016)&gt;0,IF(OR(ISLOGICAL(M1016),M1016="TRUE"),"Yes",""),"")</f>
      </c>
      <c r="O1016" s="59"/>
      <c r="P1016" s="62" t="str">
        <f>IF(LEN(O1016)&gt;0,IF(OR(ISLOGICAL(O1016),O1016="TRUE"),"Yes",""),"")</f>
      </c>
      <c r="Q1016" s="62" t="s">
        <v>98</v>
      </c>
      <c r="R1016" s="63"/>
    </row>
    <row r="1017" spans="1:18" s="47" customFormat="1" ht="51">
      <c r="A1017" s="63" t="s">
        <v>2108</v>
      </c>
      <c r="B1017" s="63" t="s">
        <v>96</v>
      </c>
      <c r="C1017" s="63" t="s">
        <v>2109</v>
      </c>
      <c r="D1017" s="61"/>
      <c r="E1017" s="45">
        <v>0.385</v>
      </c>
      <c r="F1017" s="45">
        <v>0.385</v>
      </c>
      <c r="G1017" s="66">
        <v>46082</v>
      </c>
      <c r="H1017" s="45" t="str">
        <f>IF(ISNUMBER(E1017),F1017-E1017,"N/A")</f>
        <v>N/A</v>
      </c>
      <c r="I1017" s="46" t="str">
        <f>IF(E1017&lt;&gt;"",IF(F1017=E1017,"No Change",IF(F1017&gt;E1017,"Increase","Decrease")),"New")</f>
        <v>Increase</v>
      </c>
      <c r="J1017" s="58"/>
      <c r="K1017" s="59" t="str">
        <f>IF(LEN(J1017)&gt;0,IF(OR(ISLOGICAL(J1017),J1017="TRUE"),"Yes",""),"")</f>
      </c>
      <c r="L1017" s="59"/>
      <c r="M1017" s="59"/>
      <c r="N1017" s="62" t="str">
        <f>IF(LEN(M1017)&gt;0,IF(OR(ISLOGICAL(M1017),M1017="TRUE"),"Yes",""),"")</f>
      </c>
      <c r="O1017" s="59"/>
      <c r="P1017" s="62" t="str">
        <f>IF(LEN(O1017)&gt;0,IF(OR(ISLOGICAL(O1017),O1017="TRUE"),"Yes",""),"")</f>
      </c>
      <c r="Q1017" s="62" t="s">
        <v>98</v>
      </c>
      <c r="R1017" s="63"/>
    </row>
    <row r="1018" spans="1:18" s="47" customFormat="1" ht="51">
      <c r="A1018" s="63" t="s">
        <v>2110</v>
      </c>
      <c r="B1018" s="63" t="s">
        <v>96</v>
      </c>
      <c r="C1018" s="63" t="s">
        <v>2111</v>
      </c>
      <c r="D1018" s="61"/>
      <c r="E1018" s="45">
        <v>0.415</v>
      </c>
      <c r="F1018" s="45">
        <v>0.415</v>
      </c>
      <c r="G1018" s="66">
        <v>46082</v>
      </c>
      <c r="H1018" s="45" t="str">
        <f>IF(ISNUMBER(E1018),F1018-E1018,"N/A")</f>
        <v>N/A</v>
      </c>
      <c r="I1018" s="46" t="str">
        <f>IF(E1018&lt;&gt;"",IF(F1018=E1018,"No Change",IF(F1018&gt;E1018,"Increase","Decrease")),"New")</f>
        <v>Increase</v>
      </c>
      <c r="J1018" s="58"/>
      <c r="K1018" s="59" t="str">
        <f>IF(LEN(J1018)&gt;0,IF(OR(ISLOGICAL(J1018),J1018="TRUE"),"Yes",""),"")</f>
      </c>
      <c r="L1018" s="59"/>
      <c r="M1018" s="59"/>
      <c r="N1018" s="62" t="str">
        <f>IF(LEN(M1018)&gt;0,IF(OR(ISLOGICAL(M1018),M1018="TRUE"),"Yes",""),"")</f>
      </c>
      <c r="O1018" s="59"/>
      <c r="P1018" s="62" t="str">
        <f>IF(LEN(O1018)&gt;0,IF(OR(ISLOGICAL(O1018),O1018="TRUE"),"Yes",""),"")</f>
      </c>
      <c r="Q1018" s="62" t="s">
        <v>98</v>
      </c>
      <c r="R1018" s="63"/>
    </row>
    <row r="1019" spans="1:18" s="47" customFormat="1" ht="51">
      <c r="A1019" s="63" t="s">
        <v>2112</v>
      </c>
      <c r="B1019" s="63" t="s">
        <v>96</v>
      </c>
      <c r="C1019" s="63" t="s">
        <v>2113</v>
      </c>
      <c r="D1019" s="61"/>
      <c r="E1019" s="45">
        <v>0.45</v>
      </c>
      <c r="F1019" s="45">
        <v>0.45</v>
      </c>
      <c r="G1019" s="66">
        <v>46082</v>
      </c>
      <c r="H1019" s="45" t="str">
        <f>IF(ISNUMBER(E1019),F1019-E1019,"N/A")</f>
        <v>N/A</v>
      </c>
      <c r="I1019" s="46" t="str">
        <f>IF(E1019&lt;&gt;"",IF(F1019=E1019,"No Change",IF(F1019&gt;E1019,"Increase","Decrease")),"New")</f>
        <v>Increase</v>
      </c>
      <c r="J1019" s="58"/>
      <c r="K1019" s="59" t="str">
        <f>IF(LEN(J1019)&gt;0,IF(OR(ISLOGICAL(J1019),J1019="TRUE"),"Yes",""),"")</f>
      </c>
      <c r="L1019" s="59"/>
      <c r="M1019" s="59"/>
      <c r="N1019" s="62" t="str">
        <f>IF(LEN(M1019)&gt;0,IF(OR(ISLOGICAL(M1019),M1019="TRUE"),"Yes",""),"")</f>
      </c>
      <c r="O1019" s="59"/>
      <c r="P1019" s="62" t="str">
        <f>IF(LEN(O1019)&gt;0,IF(OR(ISLOGICAL(O1019),O1019="TRUE"),"Yes",""),"")</f>
      </c>
      <c r="Q1019" s="62" t="s">
        <v>98</v>
      </c>
      <c r="R1019" s="63"/>
    </row>
    <row r="1020" spans="1:18" s="47" customFormat="1" ht="51">
      <c r="A1020" s="63" t="s">
        <v>2114</v>
      </c>
      <c r="B1020" s="63" t="s">
        <v>96</v>
      </c>
      <c r="C1020" s="63" t="s">
        <v>2115</v>
      </c>
      <c r="D1020" s="61"/>
      <c r="E1020" s="45">
        <v>0.182</v>
      </c>
      <c r="F1020" s="45">
        <v>0.182</v>
      </c>
      <c r="G1020" s="66">
        <v>46082</v>
      </c>
      <c r="H1020" s="45" t="str">
        <f>IF(ISNUMBER(E1020),F1020-E1020,"N/A")</f>
        <v>N/A</v>
      </c>
      <c r="I1020" s="46" t="str">
        <f>IF(E1020&lt;&gt;"",IF(F1020=E1020,"No Change",IF(F1020&gt;E1020,"Increase","Decrease")),"New")</f>
        <v>Increase</v>
      </c>
      <c r="J1020" s="58"/>
      <c r="K1020" s="59" t="str">
        <f>IF(LEN(J1020)&gt;0,IF(OR(ISLOGICAL(J1020),J1020="TRUE"),"Yes",""),"")</f>
      </c>
      <c r="L1020" s="59"/>
      <c r="M1020" s="59"/>
      <c r="N1020" s="62" t="str">
        <f>IF(LEN(M1020)&gt;0,IF(OR(ISLOGICAL(M1020),M1020="TRUE"),"Yes",""),"")</f>
      </c>
      <c r="O1020" s="59"/>
      <c r="P1020" s="62" t="str">
        <f>IF(LEN(O1020)&gt;0,IF(OR(ISLOGICAL(O1020),O1020="TRUE"),"Yes",""),"")</f>
      </c>
      <c r="Q1020" s="62" t="s">
        <v>98</v>
      </c>
      <c r="R1020" s="63"/>
    </row>
    <row r="1021" spans="1:18" s="47" customFormat="1" ht="51">
      <c r="A1021" s="63" t="s">
        <v>2116</v>
      </c>
      <c r="B1021" s="63" t="s">
        <v>96</v>
      </c>
      <c r="C1021" s="63" t="s">
        <v>2117</v>
      </c>
      <c r="D1021" s="61"/>
      <c r="E1021" s="45">
        <v>0.182</v>
      </c>
      <c r="F1021" s="45">
        <v>0.182</v>
      </c>
      <c r="G1021" s="66">
        <v>46078</v>
      </c>
      <c r="H1021" s="45" t="str">
        <f>IF(ISNUMBER(E1021),F1021-E1021,"N/A")</f>
        <v>N/A</v>
      </c>
      <c r="I1021" s="46" t="str">
        <f>IF(E1021&lt;&gt;"",IF(F1021=E1021,"No Change",IF(F1021&gt;E1021,"Increase","Decrease")),"New")</f>
        <v>Increase</v>
      </c>
      <c r="J1021" s="58"/>
      <c r="K1021" s="59" t="str">
        <f>IF(LEN(J1021)&gt;0,IF(OR(ISLOGICAL(J1021),J1021="TRUE"),"Yes",""),"")</f>
      </c>
      <c r="L1021" s="59"/>
      <c r="M1021" s="59"/>
      <c r="N1021" s="62" t="str">
        <f>IF(LEN(M1021)&gt;0,IF(OR(ISLOGICAL(M1021),M1021="TRUE"),"Yes",""),"")</f>
      </c>
      <c r="O1021" s="59"/>
      <c r="P1021" s="62" t="str">
        <f>IF(LEN(O1021)&gt;0,IF(OR(ISLOGICAL(O1021),O1021="TRUE"),"Yes",""),"")</f>
      </c>
      <c r="Q1021" s="62" t="s">
        <v>98</v>
      </c>
      <c r="R1021" s="63"/>
    </row>
    <row r="1022" spans="1:18" s="47" customFormat="1" ht="51">
      <c r="A1022" s="63" t="s">
        <v>2118</v>
      </c>
      <c r="B1022" s="63" t="s">
        <v>96</v>
      </c>
      <c r="C1022" s="63" t="s">
        <v>2119</v>
      </c>
      <c r="D1022" s="61"/>
      <c r="E1022" s="45">
        <v>0.385</v>
      </c>
      <c r="F1022" s="45">
        <v>0.385</v>
      </c>
      <c r="G1022" s="66">
        <v>46082</v>
      </c>
      <c r="H1022" s="45" t="str">
        <f>IF(ISNUMBER(E1022),F1022-E1022,"N/A")</f>
        <v>N/A</v>
      </c>
      <c r="I1022" s="46" t="str">
        <f>IF(E1022&lt;&gt;"",IF(F1022=E1022,"No Change",IF(F1022&gt;E1022,"Increase","Decrease")),"New")</f>
        <v>Increase</v>
      </c>
      <c r="J1022" s="58"/>
      <c r="K1022" s="59" t="str">
        <f>IF(LEN(J1022)&gt;0,IF(OR(ISLOGICAL(J1022),J1022="TRUE"),"Yes",""),"")</f>
      </c>
      <c r="L1022" s="59"/>
      <c r="M1022" s="59"/>
      <c r="N1022" s="62" t="str">
        <f>IF(LEN(M1022)&gt;0,IF(OR(ISLOGICAL(M1022),M1022="TRUE"),"Yes",""),"")</f>
      </c>
      <c r="O1022" s="59"/>
      <c r="P1022" s="62" t="str">
        <f>IF(LEN(O1022)&gt;0,IF(OR(ISLOGICAL(O1022),O1022="TRUE"),"Yes",""),"")</f>
      </c>
      <c r="Q1022" s="62" t="s">
        <v>98</v>
      </c>
      <c r="R1022" s="63"/>
    </row>
    <row r="1023" spans="1:18" s="47" customFormat="1" ht="51">
      <c r="A1023" s="63" t="s">
        <v>2120</v>
      </c>
      <c r="B1023" s="63" t="s">
        <v>96</v>
      </c>
      <c r="C1023" s="63" t="s">
        <v>2121</v>
      </c>
      <c r="D1023" s="61"/>
      <c r="E1023" s="45">
        <v>0.385</v>
      </c>
      <c r="F1023" s="45">
        <v>0.385</v>
      </c>
      <c r="G1023" s="66">
        <v>46082</v>
      </c>
      <c r="H1023" s="45" t="str">
        <f>IF(ISNUMBER(E1023),F1023-E1023,"N/A")</f>
        <v>N/A</v>
      </c>
      <c r="I1023" s="46" t="str">
        <f>IF(E1023&lt;&gt;"",IF(F1023=E1023,"No Change",IF(F1023&gt;E1023,"Increase","Decrease")),"New")</f>
        <v>Increase</v>
      </c>
      <c r="J1023" s="58"/>
      <c r="K1023" s="59" t="str">
        <f>IF(LEN(J1023)&gt;0,IF(OR(ISLOGICAL(J1023),J1023="TRUE"),"Yes",""),"")</f>
      </c>
      <c r="L1023" s="59"/>
      <c r="M1023" s="59"/>
      <c r="N1023" s="62" t="str">
        <f>IF(LEN(M1023)&gt;0,IF(OR(ISLOGICAL(M1023),M1023="TRUE"),"Yes",""),"")</f>
      </c>
      <c r="O1023" s="59"/>
      <c r="P1023" s="62" t="str">
        <f>IF(LEN(O1023)&gt;0,IF(OR(ISLOGICAL(O1023),O1023="TRUE"),"Yes",""),"")</f>
      </c>
      <c r="Q1023" s="62" t="s">
        <v>98</v>
      </c>
      <c r="R1023" s="63"/>
    </row>
    <row r="1024" spans="1:18" s="47" customFormat="1" ht="51">
      <c r="A1024" s="63" t="s">
        <v>2122</v>
      </c>
      <c r="B1024" s="63" t="s">
        <v>96</v>
      </c>
      <c r="C1024" s="63" t="s">
        <v>2123</v>
      </c>
      <c r="D1024" s="61"/>
      <c r="E1024" s="45">
        <v>0.182</v>
      </c>
      <c r="F1024" s="45">
        <v>0.182</v>
      </c>
      <c r="G1024" s="66">
        <v>46078</v>
      </c>
      <c r="H1024" s="45" t="str">
        <f>IF(ISNUMBER(E1024),F1024-E1024,"N/A")</f>
        <v>N/A</v>
      </c>
      <c r="I1024" s="46" t="str">
        <f>IF(E1024&lt;&gt;"",IF(F1024=E1024,"No Change",IF(F1024&gt;E1024,"Increase","Decrease")),"New")</f>
        <v>Increase</v>
      </c>
      <c r="J1024" s="58"/>
      <c r="K1024" s="59" t="str">
        <f>IF(LEN(J1024)&gt;0,IF(OR(ISLOGICAL(J1024),J1024="TRUE"),"Yes",""),"")</f>
      </c>
      <c r="L1024" s="59"/>
      <c r="M1024" s="59"/>
      <c r="N1024" s="62" t="str">
        <f>IF(LEN(M1024)&gt;0,IF(OR(ISLOGICAL(M1024),M1024="TRUE"),"Yes",""),"")</f>
      </c>
      <c r="O1024" s="59"/>
      <c r="P1024" s="62" t="str">
        <f>IF(LEN(O1024)&gt;0,IF(OR(ISLOGICAL(O1024),O1024="TRUE"),"Yes",""),"")</f>
      </c>
      <c r="Q1024" s="62" t="s">
        <v>98</v>
      </c>
      <c r="R1024" s="63"/>
    </row>
    <row r="1025" spans="1:18" s="47" customFormat="1" ht="51">
      <c r="A1025" s="63" t="s">
        <v>2124</v>
      </c>
      <c r="B1025" s="63" t="s">
        <v>96</v>
      </c>
      <c r="C1025" s="63" t="s">
        <v>2125</v>
      </c>
      <c r="D1025" s="61"/>
      <c r="E1025" s="45">
        <v>0.385</v>
      </c>
      <c r="F1025" s="45">
        <v>0.385</v>
      </c>
      <c r="G1025" s="66">
        <v>46082</v>
      </c>
      <c r="H1025" s="45" t="str">
        <f>IF(ISNUMBER(E1025),F1025-E1025,"N/A")</f>
        <v>N/A</v>
      </c>
      <c r="I1025" s="46" t="str">
        <f>IF(E1025&lt;&gt;"",IF(F1025=E1025,"No Change",IF(F1025&gt;E1025,"Increase","Decrease")),"New")</f>
        <v>Increase</v>
      </c>
      <c r="J1025" s="58"/>
      <c r="K1025" s="59" t="str">
        <f>IF(LEN(J1025)&gt;0,IF(OR(ISLOGICAL(J1025),J1025="TRUE"),"Yes",""),"")</f>
      </c>
      <c r="L1025" s="59"/>
      <c r="M1025" s="59"/>
      <c r="N1025" s="62" t="str">
        <f>IF(LEN(M1025)&gt;0,IF(OR(ISLOGICAL(M1025),M1025="TRUE"),"Yes",""),"")</f>
      </c>
      <c r="O1025" s="59"/>
      <c r="P1025" s="62" t="str">
        <f>IF(LEN(O1025)&gt;0,IF(OR(ISLOGICAL(O1025),O1025="TRUE"),"Yes",""),"")</f>
      </c>
      <c r="Q1025" s="62" t="s">
        <v>98</v>
      </c>
      <c r="R1025" s="63"/>
    </row>
    <row r="1026" spans="1:18" s="47" customFormat="1" ht="51">
      <c r="A1026" s="63" t="s">
        <v>2126</v>
      </c>
      <c r="B1026" s="63" t="s">
        <v>96</v>
      </c>
      <c r="C1026" s="63" t="s">
        <v>2127</v>
      </c>
      <c r="D1026" s="61"/>
      <c r="E1026" s="45">
        <v>0.385</v>
      </c>
      <c r="F1026" s="45">
        <v>0.385</v>
      </c>
      <c r="G1026" s="66">
        <v>46078</v>
      </c>
      <c r="H1026" s="45" t="str">
        <f>IF(ISNUMBER(E1026),F1026-E1026,"N/A")</f>
        <v>N/A</v>
      </c>
      <c r="I1026" s="46" t="str">
        <f>IF(E1026&lt;&gt;"",IF(F1026=E1026,"No Change",IF(F1026&gt;E1026,"Increase","Decrease")),"New")</f>
        <v>Increase</v>
      </c>
      <c r="J1026" s="58"/>
      <c r="K1026" s="59" t="str">
        <f>IF(LEN(J1026)&gt;0,IF(OR(ISLOGICAL(J1026),J1026="TRUE"),"Yes",""),"")</f>
      </c>
      <c r="L1026" s="59"/>
      <c r="M1026" s="59"/>
      <c r="N1026" s="62" t="str">
        <f>IF(LEN(M1026)&gt;0,IF(OR(ISLOGICAL(M1026),M1026="TRUE"),"Yes",""),"")</f>
      </c>
      <c r="O1026" s="59"/>
      <c r="P1026" s="62" t="str">
        <f>IF(LEN(O1026)&gt;0,IF(OR(ISLOGICAL(O1026),O1026="TRUE"),"Yes",""),"")</f>
      </c>
      <c r="Q1026" s="62" t="s">
        <v>98</v>
      </c>
      <c r="R1026" s="63"/>
    </row>
    <row r="1027" spans="1:18" s="47" customFormat="1" ht="51">
      <c r="A1027" s="63" t="s">
        <v>2128</v>
      </c>
      <c r="B1027" s="63" t="s">
        <v>96</v>
      </c>
      <c r="C1027" s="63" t="s">
        <v>2129</v>
      </c>
      <c r="D1027" s="61"/>
      <c r="E1027" s="45">
        <v>0.385</v>
      </c>
      <c r="F1027" s="45">
        <v>0.385</v>
      </c>
      <c r="G1027" s="66">
        <v>46082</v>
      </c>
      <c r="H1027" s="45" t="str">
        <f>IF(ISNUMBER(E1027),F1027-E1027,"N/A")</f>
        <v>N/A</v>
      </c>
      <c r="I1027" s="46" t="str">
        <f>IF(E1027&lt;&gt;"",IF(F1027=E1027,"No Change",IF(F1027&gt;E1027,"Increase","Decrease")),"New")</f>
        <v>Increase</v>
      </c>
      <c r="J1027" s="58"/>
      <c r="K1027" s="59" t="str">
        <f>IF(LEN(J1027)&gt;0,IF(OR(ISLOGICAL(J1027),J1027="TRUE"),"Yes",""),"")</f>
      </c>
      <c r="L1027" s="59"/>
      <c r="M1027" s="59"/>
      <c r="N1027" s="62" t="str">
        <f>IF(LEN(M1027)&gt;0,IF(OR(ISLOGICAL(M1027),M1027="TRUE"),"Yes",""),"")</f>
      </c>
      <c r="O1027" s="59"/>
      <c r="P1027" s="62" t="str">
        <f>IF(LEN(O1027)&gt;0,IF(OR(ISLOGICAL(O1027),O1027="TRUE"),"Yes",""),"")</f>
      </c>
      <c r="Q1027" s="62" t="s">
        <v>98</v>
      </c>
      <c r="R1027" s="63"/>
    </row>
    <row r="1028" spans="1:18" s="47" customFormat="1" ht="51">
      <c r="A1028" s="63" t="s">
        <v>2130</v>
      </c>
      <c r="B1028" s="63" t="s">
        <v>96</v>
      </c>
      <c r="C1028" s="63" t="s">
        <v>2131</v>
      </c>
      <c r="D1028" s="61"/>
      <c r="E1028" s="45">
        <v>0.385</v>
      </c>
      <c r="F1028" s="45">
        <v>0.385</v>
      </c>
      <c r="G1028" s="66">
        <v>46085</v>
      </c>
      <c r="H1028" s="45" t="str">
        <f>IF(ISNUMBER(E1028),F1028-E1028,"N/A")</f>
        <v>N/A</v>
      </c>
      <c r="I1028" s="46" t="str">
        <f>IF(E1028&lt;&gt;"",IF(F1028=E1028,"No Change",IF(F1028&gt;E1028,"Increase","Decrease")),"New")</f>
        <v>Increase</v>
      </c>
      <c r="J1028" s="58"/>
      <c r="K1028" s="59" t="str">
        <f>IF(LEN(J1028)&gt;0,IF(OR(ISLOGICAL(J1028),J1028="TRUE"),"Yes",""),"")</f>
      </c>
      <c r="L1028" s="59"/>
      <c r="M1028" s="59"/>
      <c r="N1028" s="62" t="str">
        <f>IF(LEN(M1028)&gt;0,IF(OR(ISLOGICAL(M1028),M1028="TRUE"),"Yes",""),"")</f>
      </c>
      <c r="O1028" s="59"/>
      <c r="P1028" s="62" t="str">
        <f>IF(LEN(O1028)&gt;0,IF(OR(ISLOGICAL(O1028),O1028="TRUE"),"Yes",""),"")</f>
      </c>
      <c r="Q1028" s="62" t="s">
        <v>98</v>
      </c>
      <c r="R1028" s="63"/>
    </row>
    <row r="1029" spans="1:18" s="47" customFormat="1" ht="51">
      <c r="A1029" s="63" t="s">
        <v>2132</v>
      </c>
      <c r="B1029" s="63" t="s">
        <v>96</v>
      </c>
      <c r="C1029" s="63" t="s">
        <v>2133</v>
      </c>
      <c r="D1029" s="61"/>
      <c r="E1029" s="45">
        <v>0.385</v>
      </c>
      <c r="F1029" s="45">
        <v>0.385</v>
      </c>
      <c r="G1029" s="66">
        <v>46082</v>
      </c>
      <c r="H1029" s="45" t="str">
        <f>IF(ISNUMBER(E1029),F1029-E1029,"N/A")</f>
        <v>N/A</v>
      </c>
      <c r="I1029" s="46" t="str">
        <f>IF(E1029&lt;&gt;"",IF(F1029=E1029,"No Change",IF(F1029&gt;E1029,"Increase","Decrease")),"New")</f>
        <v>Increase</v>
      </c>
      <c r="J1029" s="58"/>
      <c r="K1029" s="59" t="str">
        <f>IF(LEN(J1029)&gt;0,IF(OR(ISLOGICAL(J1029),J1029="TRUE"),"Yes",""),"")</f>
      </c>
      <c r="L1029" s="59"/>
      <c r="M1029" s="59"/>
      <c r="N1029" s="62" t="str">
        <f>IF(LEN(M1029)&gt;0,IF(OR(ISLOGICAL(M1029),M1029="TRUE"),"Yes",""),"")</f>
      </c>
      <c r="O1029" s="59"/>
      <c r="P1029" s="62" t="str">
        <f>IF(LEN(O1029)&gt;0,IF(OR(ISLOGICAL(O1029),O1029="TRUE"),"Yes",""),"")</f>
      </c>
      <c r="Q1029" s="62" t="s">
        <v>98</v>
      </c>
      <c r="R1029" s="63"/>
    </row>
    <row r="1030" spans="1:18" s="47" customFormat="1" ht="51">
      <c r="A1030" s="63" t="s">
        <v>2134</v>
      </c>
      <c r="B1030" s="63" t="s">
        <v>96</v>
      </c>
      <c r="C1030" s="63" t="s">
        <v>2135</v>
      </c>
      <c r="D1030" s="61"/>
      <c r="E1030" s="45">
        <v>0.385</v>
      </c>
      <c r="F1030" s="45">
        <v>0.385</v>
      </c>
      <c r="G1030" s="66">
        <v>46082</v>
      </c>
      <c r="H1030" s="45" t="str">
        <f>IF(ISNUMBER(E1030),F1030-E1030,"N/A")</f>
        <v>N/A</v>
      </c>
      <c r="I1030" s="46" t="str">
        <f>IF(E1030&lt;&gt;"",IF(F1030=E1030,"No Change",IF(F1030&gt;E1030,"Increase","Decrease")),"New")</f>
        <v>Increase</v>
      </c>
      <c r="J1030" s="58"/>
      <c r="K1030" s="59" t="str">
        <f>IF(LEN(J1030)&gt;0,IF(OR(ISLOGICAL(J1030),J1030="TRUE"),"Yes",""),"")</f>
      </c>
      <c r="L1030" s="59"/>
      <c r="M1030" s="59"/>
      <c r="N1030" s="62" t="str">
        <f>IF(LEN(M1030)&gt;0,IF(OR(ISLOGICAL(M1030),M1030="TRUE"),"Yes",""),"")</f>
      </c>
      <c r="O1030" s="59"/>
      <c r="P1030" s="62" t="str">
        <f>IF(LEN(O1030)&gt;0,IF(OR(ISLOGICAL(O1030),O1030="TRUE"),"Yes",""),"")</f>
      </c>
      <c r="Q1030" s="62" t="s">
        <v>98</v>
      </c>
      <c r="R1030" s="63"/>
    </row>
    <row r="1031" spans="1:18" s="47" customFormat="1" ht="51">
      <c r="A1031" s="63" t="s">
        <v>2136</v>
      </c>
      <c r="B1031" s="63" t="s">
        <v>96</v>
      </c>
      <c r="C1031" s="63" t="s">
        <v>2137</v>
      </c>
      <c r="D1031" s="61"/>
      <c r="E1031" s="45">
        <v>0.311</v>
      </c>
      <c r="F1031" s="45">
        <v>0.311</v>
      </c>
      <c r="G1031" s="66">
        <v>46078</v>
      </c>
      <c r="H1031" s="45" t="str">
        <f>IF(ISNUMBER(E1031),F1031-E1031,"N/A")</f>
        <v>N/A</v>
      </c>
      <c r="I1031" s="46" t="str">
        <f>IF(E1031&lt;&gt;"",IF(F1031=E1031,"No Change",IF(F1031&gt;E1031,"Increase","Decrease")),"New")</f>
        <v>Increase</v>
      </c>
      <c r="J1031" s="58" t="s">
        <v>122</v>
      </c>
      <c r="K1031" s="59" t="str">
        <f>IF(LEN(J1031)&gt;0,IF(OR(ISLOGICAL(J1031),J1031="TRUE"),"Yes",""),"")</f>
      </c>
      <c r="L1031" s="59"/>
      <c r="M1031" s="59"/>
      <c r="N1031" s="62" t="str">
        <f>IF(LEN(M1031)&gt;0,IF(OR(ISLOGICAL(M1031),M1031="TRUE"),"Yes",""),"")</f>
      </c>
      <c r="O1031" s="59"/>
      <c r="P1031" s="62" t="str">
        <f>IF(LEN(O1031)&gt;0,IF(OR(ISLOGICAL(O1031),O1031="TRUE"),"Yes",""),"")</f>
      </c>
      <c r="Q1031" s="62" t="s">
        <v>98</v>
      </c>
      <c r="R1031" s="63"/>
    </row>
    <row r="1032" spans="1:18" s="47" customFormat="1" ht="51">
      <c r="A1032" s="63" t="s">
        <v>2138</v>
      </c>
      <c r="B1032" s="63" t="s">
        <v>96</v>
      </c>
      <c r="C1032" s="63" t="s">
        <v>2139</v>
      </c>
      <c r="D1032" s="61"/>
      <c r="E1032" s="45">
        <v>0.061</v>
      </c>
      <c r="F1032" s="45">
        <v>0.061</v>
      </c>
      <c r="G1032" s="66">
        <v>46092</v>
      </c>
      <c r="H1032" s="45" t="str">
        <f>IF(ISNUMBER(E1032),F1032-E1032,"N/A")</f>
        <v>N/A</v>
      </c>
      <c r="I1032" s="46" t="str">
        <f>IF(E1032&lt;&gt;"",IF(F1032=E1032,"No Change",IF(F1032&gt;E1032,"Increase","Decrease")),"New")</f>
        <v>Increase</v>
      </c>
      <c r="J1032" s="58"/>
      <c r="K1032" s="59" t="str">
        <f>IF(LEN(J1032)&gt;0,IF(OR(ISLOGICAL(J1032),J1032="TRUE"),"Yes",""),"")</f>
      </c>
      <c r="L1032" s="59"/>
      <c r="M1032" s="59"/>
      <c r="N1032" s="62" t="str">
        <f>IF(LEN(M1032)&gt;0,IF(OR(ISLOGICAL(M1032),M1032="TRUE"),"Yes",""),"")</f>
      </c>
      <c r="O1032" s="59"/>
      <c r="P1032" s="62" t="str">
        <f>IF(LEN(O1032)&gt;0,IF(OR(ISLOGICAL(O1032),O1032="TRUE"),"Yes",""),"")</f>
      </c>
      <c r="Q1032" s="62" t="s">
        <v>98</v>
      </c>
      <c r="R1032" s="63"/>
    </row>
    <row r="1033" spans="1:18" s="47" customFormat="1" ht="51">
      <c r="A1033" s="63" t="s">
        <v>2140</v>
      </c>
      <c r="B1033" s="63" t="s">
        <v>96</v>
      </c>
      <c r="C1033" s="63" t="s">
        <v>2141</v>
      </c>
      <c r="D1033" s="61"/>
      <c r="E1033" s="45">
        <v>0.061</v>
      </c>
      <c r="F1033" s="45">
        <v>0.061</v>
      </c>
      <c r="G1033" s="66">
        <v>46099</v>
      </c>
      <c r="H1033" s="45" t="str">
        <f>IF(ISNUMBER(E1033),F1033-E1033,"N/A")</f>
        <v>N/A</v>
      </c>
      <c r="I1033" s="46" t="str">
        <f>IF(E1033&lt;&gt;"",IF(F1033=E1033,"No Change",IF(F1033&gt;E1033,"Increase","Decrease")),"New")</f>
        <v>Increase</v>
      </c>
      <c r="J1033" s="58"/>
      <c r="K1033" s="59" t="str">
        <f>IF(LEN(J1033)&gt;0,IF(OR(ISLOGICAL(J1033),J1033="TRUE"),"Yes",""),"")</f>
      </c>
      <c r="L1033" s="59"/>
      <c r="M1033" s="59"/>
      <c r="N1033" s="62" t="str">
        <f>IF(LEN(M1033)&gt;0,IF(OR(ISLOGICAL(M1033),M1033="TRUE"),"Yes",""),"")</f>
      </c>
      <c r="O1033" s="59"/>
      <c r="P1033" s="62" t="str">
        <f>IF(LEN(O1033)&gt;0,IF(OR(ISLOGICAL(O1033),O1033="TRUE"),"Yes",""),"")</f>
      </c>
      <c r="Q1033" s="62" t="s">
        <v>98</v>
      </c>
      <c r="R1033" s="63"/>
    </row>
    <row r="1034" spans="1:18" s="47" customFormat="1" ht="51">
      <c r="A1034" s="63" t="s">
        <v>2142</v>
      </c>
      <c r="B1034" s="63" t="s">
        <v>96</v>
      </c>
      <c r="C1034" s="63" t="s">
        <v>2143</v>
      </c>
      <c r="D1034" s="61"/>
      <c r="E1034" s="45">
        <v>0.061</v>
      </c>
      <c r="F1034" s="45">
        <v>0.061</v>
      </c>
      <c r="G1034" s="66">
        <v>46092</v>
      </c>
      <c r="H1034" s="45" t="str">
        <f>IF(ISNUMBER(E1034),F1034-E1034,"N/A")</f>
        <v>N/A</v>
      </c>
      <c r="I1034" s="46" t="str">
        <f>IF(E1034&lt;&gt;"",IF(F1034=E1034,"No Change",IF(F1034&gt;E1034,"Increase","Decrease")),"New")</f>
        <v>Increase</v>
      </c>
      <c r="J1034" s="58"/>
      <c r="K1034" s="59" t="str">
        <f>IF(LEN(J1034)&gt;0,IF(OR(ISLOGICAL(J1034),J1034="TRUE"),"Yes",""),"")</f>
      </c>
      <c r="L1034" s="59"/>
      <c r="M1034" s="59"/>
      <c r="N1034" s="62" t="str">
        <f>IF(LEN(M1034)&gt;0,IF(OR(ISLOGICAL(M1034),M1034="TRUE"),"Yes",""),"")</f>
      </c>
      <c r="O1034" s="59"/>
      <c r="P1034" s="62" t="str">
        <f>IF(LEN(O1034)&gt;0,IF(OR(ISLOGICAL(O1034),O1034="TRUE"),"Yes",""),"")</f>
      </c>
      <c r="Q1034" s="62" t="s">
        <v>98</v>
      </c>
      <c r="R1034" s="63"/>
    </row>
    <row r="1035" spans="1:18" s="47" customFormat="1" ht="51">
      <c r="A1035" s="63" t="s">
        <v>2144</v>
      </c>
      <c r="B1035" s="63" t="s">
        <v>96</v>
      </c>
      <c r="C1035" s="63" t="s">
        <v>2145</v>
      </c>
      <c r="D1035" s="61"/>
      <c r="E1035" s="45">
        <v>0.061</v>
      </c>
      <c r="F1035" s="45">
        <v>0.061</v>
      </c>
      <c r="G1035" s="66">
        <v>46082</v>
      </c>
      <c r="H1035" s="45" t="str">
        <f>IF(ISNUMBER(E1035),F1035-E1035,"N/A")</f>
        <v>N/A</v>
      </c>
      <c r="I1035" s="46" t="str">
        <f>IF(E1035&lt;&gt;"",IF(F1035=E1035,"No Change",IF(F1035&gt;E1035,"Increase","Decrease")),"New")</f>
        <v>Increase</v>
      </c>
      <c r="J1035" s="58"/>
      <c r="K1035" s="59" t="str">
        <f>IF(LEN(J1035)&gt;0,IF(OR(ISLOGICAL(J1035),J1035="TRUE"),"Yes",""),"")</f>
      </c>
      <c r="L1035" s="59"/>
      <c r="M1035" s="59"/>
      <c r="N1035" s="62" t="str">
        <f>IF(LEN(M1035)&gt;0,IF(OR(ISLOGICAL(M1035),M1035="TRUE"),"Yes",""),"")</f>
      </c>
      <c r="O1035" s="59"/>
      <c r="P1035" s="62" t="str">
        <f>IF(LEN(O1035)&gt;0,IF(OR(ISLOGICAL(O1035),O1035="TRUE"),"Yes",""),"")</f>
      </c>
      <c r="Q1035" s="62" t="s">
        <v>98</v>
      </c>
      <c r="R1035" s="63"/>
    </row>
    <row r="1036" spans="1:18" s="47" customFormat="1" ht="51">
      <c r="A1036" s="63" t="s">
        <v>2146</v>
      </c>
      <c r="B1036" s="63" t="s">
        <v>96</v>
      </c>
      <c r="C1036" s="63" t="s">
        <v>2147</v>
      </c>
      <c r="D1036" s="61"/>
      <c r="E1036" s="45">
        <v>0.061</v>
      </c>
      <c r="F1036" s="45">
        <v>0.061</v>
      </c>
      <c r="G1036" s="66">
        <v>46099</v>
      </c>
      <c r="H1036" s="45" t="str">
        <f>IF(ISNUMBER(E1036),F1036-E1036,"N/A")</f>
        <v>N/A</v>
      </c>
      <c r="I1036" s="46" t="str">
        <f>IF(E1036&lt;&gt;"",IF(F1036=E1036,"No Change",IF(F1036&gt;E1036,"Increase","Decrease")),"New")</f>
        <v>Increase</v>
      </c>
      <c r="J1036" s="58"/>
      <c r="K1036" s="59" t="str">
        <f>IF(LEN(J1036)&gt;0,IF(OR(ISLOGICAL(J1036),J1036="TRUE"),"Yes",""),"")</f>
      </c>
      <c r="L1036" s="59"/>
      <c r="M1036" s="59"/>
      <c r="N1036" s="62" t="str">
        <f>IF(LEN(M1036)&gt;0,IF(OR(ISLOGICAL(M1036),M1036="TRUE"),"Yes",""),"")</f>
      </c>
      <c r="O1036" s="59"/>
      <c r="P1036" s="62" t="str">
        <f>IF(LEN(O1036)&gt;0,IF(OR(ISLOGICAL(O1036),O1036="TRUE"),"Yes",""),"")</f>
      </c>
      <c r="Q1036" s="62" t="s">
        <v>98</v>
      </c>
      <c r="R1036" s="63"/>
    </row>
    <row r="1037" spans="1:18" s="47" customFormat="1" ht="51">
      <c r="A1037" s="63" t="s">
        <v>2148</v>
      </c>
      <c r="B1037" s="63" t="s">
        <v>96</v>
      </c>
      <c r="C1037" s="63" t="s">
        <v>2149</v>
      </c>
      <c r="D1037" s="61"/>
      <c r="E1037" s="45">
        <v>0.15</v>
      </c>
      <c r="F1037" s="45">
        <v>0.15</v>
      </c>
      <c r="G1037" s="66">
        <v>46085</v>
      </c>
      <c r="H1037" s="45" t="str">
        <f>IF(ISNUMBER(E1037),F1037-E1037,"N/A")</f>
        <v>N/A</v>
      </c>
      <c r="I1037" s="46" t="str">
        <f>IF(E1037&lt;&gt;"",IF(F1037=E1037,"No Change",IF(F1037&gt;E1037,"Increase","Decrease")),"New")</f>
        <v>Increase</v>
      </c>
      <c r="J1037" s="58"/>
      <c r="K1037" s="59" t="str">
        <f>IF(LEN(J1037)&gt;0,IF(OR(ISLOGICAL(J1037),J1037="TRUE"),"Yes",""),"")</f>
      </c>
      <c r="L1037" s="59"/>
      <c r="M1037" s="59"/>
      <c r="N1037" s="62" t="str">
        <f>IF(LEN(M1037)&gt;0,IF(OR(ISLOGICAL(M1037),M1037="TRUE"),"Yes",""),"")</f>
      </c>
      <c r="O1037" s="59"/>
      <c r="P1037" s="62" t="str">
        <f>IF(LEN(O1037)&gt;0,IF(OR(ISLOGICAL(O1037),O1037="TRUE"),"Yes",""),"")</f>
      </c>
      <c r="Q1037" s="62" t="s">
        <v>98</v>
      </c>
      <c r="R1037" s="63"/>
    </row>
    <row r="1038" spans="1:18" s="47" customFormat="1" ht="51">
      <c r="A1038" s="63" t="s">
        <v>2150</v>
      </c>
      <c r="B1038" s="63" t="s">
        <v>96</v>
      </c>
      <c r="C1038" s="63" t="s">
        <v>2151</v>
      </c>
      <c r="D1038" s="61"/>
      <c r="E1038" s="45">
        <v>0.135</v>
      </c>
      <c r="F1038" s="45">
        <v>0.135</v>
      </c>
      <c r="G1038" s="66">
        <v>46082</v>
      </c>
      <c r="H1038" s="45" t="str">
        <f>IF(ISNUMBER(E1038),F1038-E1038,"N/A")</f>
        <v>N/A</v>
      </c>
      <c r="I1038" s="46" t="str">
        <f>IF(E1038&lt;&gt;"",IF(F1038=E1038,"No Change",IF(F1038&gt;E1038,"Increase","Decrease")),"New")</f>
        <v>Increase</v>
      </c>
      <c r="J1038" s="58" t="s">
        <v>122</v>
      </c>
      <c r="K1038" s="59" t="str">
        <f>IF(LEN(J1038)&gt;0,IF(OR(ISLOGICAL(J1038),J1038="TRUE"),"Yes",""),"")</f>
      </c>
      <c r="L1038" s="59"/>
      <c r="M1038" s="59"/>
      <c r="N1038" s="62" t="str">
        <f>IF(LEN(M1038)&gt;0,IF(OR(ISLOGICAL(M1038),M1038="TRUE"),"Yes",""),"")</f>
      </c>
      <c r="O1038" s="59"/>
      <c r="P1038" s="62" t="str">
        <f>IF(LEN(O1038)&gt;0,IF(OR(ISLOGICAL(O1038),O1038="TRUE"),"Yes",""),"")</f>
      </c>
      <c r="Q1038" s="62" t="s">
        <v>98</v>
      </c>
      <c r="R1038" s="63"/>
    </row>
    <row r="1039" spans="1:18" s="47" customFormat="1" ht="51">
      <c r="A1039" s="63" t="s">
        <v>2152</v>
      </c>
      <c r="B1039" s="63" t="s">
        <v>96</v>
      </c>
      <c r="C1039" s="63" t="s">
        <v>2153</v>
      </c>
      <c r="D1039" s="61"/>
      <c r="E1039" s="45">
        <v>0.15</v>
      </c>
      <c r="F1039" s="45">
        <v>0.15</v>
      </c>
      <c r="G1039" s="66">
        <v>46120</v>
      </c>
      <c r="H1039" s="45" t="str">
        <f>IF(ISNUMBER(E1039),F1039-E1039,"N/A")</f>
        <v>N/A</v>
      </c>
      <c r="I1039" s="46" t="str">
        <f>IF(E1039&lt;&gt;"",IF(F1039=E1039,"No Change",IF(F1039&gt;E1039,"Increase","Decrease")),"New")</f>
        <v>Increase</v>
      </c>
      <c r="J1039" s="58" t="s">
        <v>122</v>
      </c>
      <c r="K1039" s="59" t="str">
        <f>IF(LEN(J1039)&gt;0,IF(OR(ISLOGICAL(J1039),J1039="TRUE"),"Yes",""),"")</f>
      </c>
      <c r="L1039" s="59"/>
      <c r="M1039" s="59"/>
      <c r="N1039" s="62" t="str">
        <f>IF(LEN(M1039)&gt;0,IF(OR(ISLOGICAL(M1039),M1039="TRUE"),"Yes",""),"")</f>
      </c>
      <c r="O1039" s="59"/>
      <c r="P1039" s="62" t="str">
        <f>IF(LEN(O1039)&gt;0,IF(OR(ISLOGICAL(O1039),O1039="TRUE"),"Yes",""),"")</f>
      </c>
      <c r="Q1039" s="62" t="s">
        <v>109</v>
      </c>
      <c r="R1039" s="63"/>
    </row>
    <row r="1040" spans="1:18" s="47" customFormat="1" ht="51">
      <c r="A1040" s="63" t="s">
        <v>2154</v>
      </c>
      <c r="B1040" s="63" t="s">
        <v>96</v>
      </c>
      <c r="C1040" s="63" t="s">
        <v>2155</v>
      </c>
      <c r="D1040" s="61"/>
      <c r="E1040" s="45">
        <v>0.15</v>
      </c>
      <c r="F1040" s="45">
        <v>0.15</v>
      </c>
      <c r="G1040" s="66">
        <v>46120</v>
      </c>
      <c r="H1040" s="45" t="str">
        <f>IF(ISNUMBER(E1040),F1040-E1040,"N/A")</f>
        <v>N/A</v>
      </c>
      <c r="I1040" s="46" t="str">
        <f>IF(E1040&lt;&gt;"",IF(F1040=E1040,"No Change",IF(F1040&gt;E1040,"Increase","Decrease")),"New")</f>
        <v>Increase</v>
      </c>
      <c r="J1040" s="58"/>
      <c r="K1040" s="59" t="str">
        <f>IF(LEN(J1040)&gt;0,IF(OR(ISLOGICAL(J1040),J1040="TRUE"),"Yes",""),"")</f>
      </c>
      <c r="L1040" s="59"/>
      <c r="M1040" s="59"/>
      <c r="N1040" s="62" t="str">
        <f>IF(LEN(M1040)&gt;0,IF(OR(ISLOGICAL(M1040),M1040="TRUE"),"Yes",""),"")</f>
      </c>
      <c r="O1040" s="59"/>
      <c r="P1040" s="62" t="str">
        <f>IF(LEN(O1040)&gt;0,IF(OR(ISLOGICAL(O1040),O1040="TRUE"),"Yes",""),"")</f>
      </c>
      <c r="Q1040" s="62" t="s">
        <v>109</v>
      </c>
      <c r="R1040" s="63"/>
    </row>
    <row r="1041" spans="1:18" s="47" customFormat="1" ht="51">
      <c r="A1041" s="63" t="s">
        <v>2156</v>
      </c>
      <c r="B1041" s="63" t="s">
        <v>96</v>
      </c>
      <c r="C1041" s="63" t="s">
        <v>2157</v>
      </c>
      <c r="D1041" s="61"/>
      <c r="E1041" s="45">
        <v>0.1245</v>
      </c>
      <c r="F1041" s="45">
        <v>0.1245</v>
      </c>
      <c r="G1041" s="66">
        <v>46127</v>
      </c>
      <c r="H1041" s="45" t="str">
        <f>IF(ISNUMBER(E1041),F1041-E1041,"N/A")</f>
        <v>N/A</v>
      </c>
      <c r="I1041" s="46" t="str">
        <f>IF(E1041&lt;&gt;"",IF(F1041=E1041,"No Change",IF(F1041&gt;E1041,"Increase","Decrease")),"New")</f>
        <v>Increase</v>
      </c>
      <c r="J1041" s="58" t="s">
        <v>122</v>
      </c>
      <c r="K1041" s="59" t="str">
        <f>IF(LEN(J1041)&gt;0,IF(OR(ISLOGICAL(J1041),J1041="TRUE"),"Yes",""),"")</f>
      </c>
      <c r="L1041" s="59"/>
      <c r="M1041" s="59"/>
      <c r="N1041" s="62" t="str">
        <f>IF(LEN(M1041)&gt;0,IF(OR(ISLOGICAL(M1041),M1041="TRUE"),"Yes",""),"")</f>
      </c>
      <c r="O1041" s="59"/>
      <c r="P1041" s="62" t="str">
        <f>IF(LEN(O1041)&gt;0,IF(OR(ISLOGICAL(O1041),O1041="TRUE"),"Yes",""),"")</f>
      </c>
      <c r="Q1041" s="62" t="s">
        <v>98</v>
      </c>
      <c r="R1041" s="63"/>
    </row>
    <row r="1042" spans="1:18" s="47" customFormat="1" ht="51">
      <c r="A1042" s="63" t="s">
        <v>2158</v>
      </c>
      <c r="B1042" s="63" t="s">
        <v>96</v>
      </c>
      <c r="C1042" s="63" t="s">
        <v>2159</v>
      </c>
      <c r="D1042" s="61"/>
      <c r="E1042" s="45">
        <v>0.1375</v>
      </c>
      <c r="F1042" s="45">
        <v>0.1375</v>
      </c>
      <c r="G1042" s="66">
        <v>46127</v>
      </c>
      <c r="H1042" s="45" t="str">
        <f>IF(ISNUMBER(E1042),F1042-E1042,"N/A")</f>
        <v>N/A</v>
      </c>
      <c r="I1042" s="46" t="str">
        <f>IF(E1042&lt;&gt;"",IF(F1042=E1042,"No Change",IF(F1042&gt;E1042,"Increase","Decrease")),"New")</f>
        <v>Increase</v>
      </c>
      <c r="J1042" s="58" t="s">
        <v>122</v>
      </c>
      <c r="K1042" s="59" t="str">
        <f>IF(LEN(J1042)&gt;0,IF(OR(ISLOGICAL(J1042),J1042="TRUE"),"Yes",""),"")</f>
      </c>
      <c r="L1042" s="59"/>
      <c r="M1042" s="59"/>
      <c r="N1042" s="62" t="str">
        <f>IF(LEN(M1042)&gt;0,IF(OR(ISLOGICAL(M1042),M1042="TRUE"),"Yes",""),"")</f>
      </c>
      <c r="O1042" s="59"/>
      <c r="P1042" s="62" t="str">
        <f>IF(LEN(O1042)&gt;0,IF(OR(ISLOGICAL(O1042),O1042="TRUE"),"Yes",""),"")</f>
      </c>
      <c r="Q1042" s="62" t="s">
        <v>98</v>
      </c>
      <c r="R1042" s="63"/>
    </row>
    <row r="1043" spans="1:18" s="47" customFormat="1" ht="51">
      <c r="A1043" s="63" t="s">
        <v>2160</v>
      </c>
      <c r="B1043" s="63" t="s">
        <v>96</v>
      </c>
      <c r="C1043" s="63" t="s">
        <v>2161</v>
      </c>
      <c r="D1043" s="61"/>
      <c r="E1043" s="45">
        <v>0.061</v>
      </c>
      <c r="F1043" s="45">
        <v>0.061</v>
      </c>
      <c r="G1043" s="66">
        <v>46082</v>
      </c>
      <c r="H1043" s="45" t="str">
        <f>IF(ISNUMBER(E1043),F1043-E1043,"N/A")</f>
        <v>N/A</v>
      </c>
      <c r="I1043" s="46" t="str">
        <f>IF(E1043&lt;&gt;"",IF(F1043=E1043,"No Change",IF(F1043&gt;E1043,"Increase","Decrease")),"New")</f>
        <v>Increase</v>
      </c>
      <c r="J1043" s="58"/>
      <c r="K1043" s="59" t="str">
        <f>IF(LEN(J1043)&gt;0,IF(OR(ISLOGICAL(J1043),J1043="TRUE"),"Yes",""),"")</f>
      </c>
      <c r="L1043" s="59"/>
      <c r="M1043" s="59"/>
      <c r="N1043" s="62" t="str">
        <f>IF(LEN(M1043)&gt;0,IF(OR(ISLOGICAL(M1043),M1043="TRUE"),"Yes",""),"")</f>
      </c>
      <c r="O1043" s="59"/>
      <c r="P1043" s="62" t="str">
        <f>IF(LEN(O1043)&gt;0,IF(OR(ISLOGICAL(O1043),O1043="TRUE"),"Yes",""),"")</f>
      </c>
      <c r="Q1043" s="62" t="s">
        <v>98</v>
      </c>
      <c r="R1043" s="63"/>
    </row>
    <row r="1044" spans="1:18" s="47" customFormat="1" ht="51">
      <c r="A1044" s="63" t="s">
        <v>2162</v>
      </c>
      <c r="B1044" s="63" t="s">
        <v>96</v>
      </c>
      <c r="C1044" s="63" t="s">
        <v>2163</v>
      </c>
      <c r="D1044" s="61"/>
      <c r="E1044" s="45">
        <v>0.309</v>
      </c>
      <c r="F1044" s="45">
        <v>0.309</v>
      </c>
      <c r="G1044" s="66">
        <v>46092</v>
      </c>
      <c r="H1044" s="45" t="str">
        <f>IF(ISNUMBER(E1044),F1044-E1044,"N/A")</f>
        <v>N/A</v>
      </c>
      <c r="I1044" s="46" t="str">
        <f>IF(E1044&lt;&gt;"",IF(F1044=E1044,"No Change",IF(F1044&gt;E1044,"Increase","Decrease")),"New")</f>
        <v>Increase</v>
      </c>
      <c r="J1044" s="58"/>
      <c r="K1044" s="59" t="str">
        <f>IF(LEN(J1044)&gt;0,IF(OR(ISLOGICAL(J1044),J1044="TRUE"),"Yes",""),"")</f>
      </c>
      <c r="L1044" s="59"/>
      <c r="M1044" s="59"/>
      <c r="N1044" s="62" t="str">
        <f>IF(LEN(M1044)&gt;0,IF(OR(ISLOGICAL(M1044),M1044="TRUE"),"Yes",""),"")</f>
      </c>
      <c r="O1044" s="59"/>
      <c r="P1044" s="62" t="str">
        <f>IF(LEN(O1044)&gt;0,IF(OR(ISLOGICAL(O1044),O1044="TRUE"),"Yes",""),"")</f>
      </c>
      <c r="Q1044" s="62" t="s">
        <v>98</v>
      </c>
      <c r="R1044" s="63"/>
    </row>
    <row r="1045" spans="1:18" s="47" customFormat="1" ht="51">
      <c r="A1045" s="63" t="s">
        <v>2164</v>
      </c>
      <c r="B1045" s="63" t="s">
        <v>96</v>
      </c>
      <c r="C1045" s="63" t="s">
        <v>2165</v>
      </c>
      <c r="D1045" s="61"/>
      <c r="E1045" s="45">
        <v>0.309</v>
      </c>
      <c r="F1045" s="45">
        <v>0.309</v>
      </c>
      <c r="G1045" s="66">
        <v>46082</v>
      </c>
      <c r="H1045" s="45" t="str">
        <f>IF(ISNUMBER(E1045),F1045-E1045,"N/A")</f>
        <v>N/A</v>
      </c>
      <c r="I1045" s="46" t="str">
        <f>IF(E1045&lt;&gt;"",IF(F1045=E1045,"No Change",IF(F1045&gt;E1045,"Increase","Decrease")),"New")</f>
        <v>Increase</v>
      </c>
      <c r="J1045" s="58"/>
      <c r="K1045" s="59" t="str">
        <f>IF(LEN(J1045)&gt;0,IF(OR(ISLOGICAL(J1045),J1045="TRUE"),"Yes",""),"")</f>
      </c>
      <c r="L1045" s="59"/>
      <c r="M1045" s="59"/>
      <c r="N1045" s="62" t="str">
        <f>IF(LEN(M1045)&gt;0,IF(OR(ISLOGICAL(M1045),M1045="TRUE"),"Yes",""),"")</f>
      </c>
      <c r="O1045" s="59"/>
      <c r="P1045" s="62" t="str">
        <f>IF(LEN(O1045)&gt;0,IF(OR(ISLOGICAL(O1045),O1045="TRUE"),"Yes",""),"")</f>
      </c>
      <c r="Q1045" s="62" t="s">
        <v>98</v>
      </c>
      <c r="R1045" s="63"/>
    </row>
    <row r="1046" spans="1:18" s="47" customFormat="1" ht="51">
      <c r="A1046" s="63" t="s">
        <v>2166</v>
      </c>
      <c r="B1046" s="63" t="s">
        <v>96</v>
      </c>
      <c r="C1046" s="63" t="s">
        <v>2167</v>
      </c>
      <c r="D1046" s="61"/>
      <c r="E1046" s="45">
        <v>0.0135</v>
      </c>
      <c r="F1046" s="45">
        <v>0.0135</v>
      </c>
      <c r="G1046" s="66">
        <v>46064</v>
      </c>
      <c r="H1046" s="45" t="str">
        <f>IF(ISNUMBER(E1046),F1046-E1046,"N/A")</f>
        <v>N/A</v>
      </c>
      <c r="I1046" s="46" t="str">
        <f>IF(E1046&lt;&gt;"",IF(F1046=E1046,"No Change",IF(F1046&gt;E1046,"Increase","Decrease")),"New")</f>
        <v>Increase</v>
      </c>
      <c r="J1046" s="58"/>
      <c r="K1046" s="59" t="str">
        <f>IF(LEN(J1046)&gt;0,IF(OR(ISLOGICAL(J1046),J1046="TRUE"),"Yes",""),"")</f>
      </c>
      <c r="L1046" s="59"/>
      <c r="M1046" s="59"/>
      <c r="N1046" s="62" t="str">
        <f>IF(LEN(M1046)&gt;0,IF(OR(ISLOGICAL(M1046),M1046="TRUE"),"Yes",""),"")</f>
      </c>
      <c r="O1046" s="59"/>
      <c r="P1046" s="62" t="str">
        <f>IF(LEN(O1046)&gt;0,IF(OR(ISLOGICAL(O1046),O1046="TRUE"),"Yes",""),"")</f>
      </c>
      <c r="Q1046" s="62" t="s">
        <v>104</v>
      </c>
      <c r="R1046" s="63"/>
    </row>
    <row r="1047" spans="1:18" s="47" customFormat="1" ht="51">
      <c r="A1047" s="63" t="s">
        <v>2168</v>
      </c>
      <c r="B1047" s="63" t="s">
        <v>96</v>
      </c>
      <c r="C1047" s="63" t="s">
        <v>2169</v>
      </c>
      <c r="D1047" s="61"/>
      <c r="E1047" s="45">
        <v>0.0135</v>
      </c>
      <c r="F1047" s="45">
        <v>0.0135</v>
      </c>
      <c r="G1047" s="66">
        <v>46064</v>
      </c>
      <c r="H1047" s="45" t="str">
        <f>IF(ISNUMBER(E1047),F1047-E1047,"N/A")</f>
        <v>N/A</v>
      </c>
      <c r="I1047" s="46" t="str">
        <f>IF(E1047&lt;&gt;"",IF(F1047=E1047,"No Change",IF(F1047&gt;E1047,"Increase","Decrease")),"New")</f>
        <v>Increase</v>
      </c>
      <c r="J1047" s="58"/>
      <c r="K1047" s="59" t="str">
        <f>IF(LEN(J1047)&gt;0,IF(OR(ISLOGICAL(J1047),J1047="TRUE"),"Yes",""),"")</f>
      </c>
      <c r="L1047" s="59"/>
      <c r="M1047" s="59"/>
      <c r="N1047" s="62" t="str">
        <f>IF(LEN(M1047)&gt;0,IF(OR(ISLOGICAL(M1047),M1047="TRUE"),"Yes",""),"")</f>
      </c>
      <c r="O1047" s="59"/>
      <c r="P1047" s="62" t="str">
        <f>IF(LEN(O1047)&gt;0,IF(OR(ISLOGICAL(O1047),O1047="TRUE"),"Yes",""),"")</f>
      </c>
      <c r="Q1047" s="62" t="s">
        <v>104</v>
      </c>
      <c r="R1047" s="63"/>
    </row>
    <row r="1048" spans="1:18" s="47" customFormat="1" ht="51">
      <c r="A1048" s="63" t="s">
        <v>2170</v>
      </c>
      <c r="B1048" s="63" t="s">
        <v>96</v>
      </c>
      <c r="C1048" s="63" t="s">
        <v>2171</v>
      </c>
      <c r="D1048" s="61"/>
      <c r="E1048" s="45">
        <v>0.0135</v>
      </c>
      <c r="F1048" s="45">
        <v>0.0135</v>
      </c>
      <c r="G1048" s="66">
        <v>46064</v>
      </c>
      <c r="H1048" s="45" t="str">
        <f>IF(ISNUMBER(E1048),F1048-E1048,"N/A")</f>
        <v>N/A</v>
      </c>
      <c r="I1048" s="46" t="str">
        <f>IF(E1048&lt;&gt;"",IF(F1048=E1048,"No Change",IF(F1048&gt;E1048,"Increase","Decrease")),"New")</f>
        <v>Increase</v>
      </c>
      <c r="J1048" s="58"/>
      <c r="K1048" s="59" t="str">
        <f>IF(LEN(J1048)&gt;0,IF(OR(ISLOGICAL(J1048),J1048="TRUE"),"Yes",""),"")</f>
      </c>
      <c r="L1048" s="59"/>
      <c r="M1048" s="59"/>
      <c r="N1048" s="62" t="str">
        <f>IF(LEN(M1048)&gt;0,IF(OR(ISLOGICAL(M1048),M1048="TRUE"),"Yes",""),"")</f>
      </c>
      <c r="O1048" s="59"/>
      <c r="P1048" s="62" t="str">
        <f>IF(LEN(O1048)&gt;0,IF(OR(ISLOGICAL(O1048),O1048="TRUE"),"Yes",""),"")</f>
      </c>
      <c r="Q1048" s="62" t="s">
        <v>104</v>
      </c>
      <c r="R1048" s="63"/>
    </row>
    <row r="1049" spans="1:18" s="47" customFormat="1" ht="51">
      <c r="A1049" s="63" t="s">
        <v>2172</v>
      </c>
      <c r="B1049" s="63" t="s">
        <v>96</v>
      </c>
      <c r="C1049" s="63" t="s">
        <v>2173</v>
      </c>
      <c r="D1049" s="61"/>
      <c r="E1049" s="45">
        <v>0.0135</v>
      </c>
      <c r="F1049" s="45">
        <v>0.0135</v>
      </c>
      <c r="G1049" s="66">
        <v>46064</v>
      </c>
      <c r="H1049" s="45" t="str">
        <f>IF(ISNUMBER(E1049),F1049-E1049,"N/A")</f>
        <v>N/A</v>
      </c>
      <c r="I1049" s="46" t="str">
        <f>IF(E1049&lt;&gt;"",IF(F1049=E1049,"No Change",IF(F1049&gt;E1049,"Increase","Decrease")),"New")</f>
        <v>Increase</v>
      </c>
      <c r="J1049" s="58"/>
      <c r="K1049" s="59" t="str">
        <f>IF(LEN(J1049)&gt;0,IF(OR(ISLOGICAL(J1049),J1049="TRUE"),"Yes",""),"")</f>
      </c>
      <c r="L1049" s="59"/>
      <c r="M1049" s="59"/>
      <c r="N1049" s="62" t="str">
        <f>IF(LEN(M1049)&gt;0,IF(OR(ISLOGICAL(M1049),M1049="TRUE"),"Yes",""),"")</f>
      </c>
      <c r="O1049" s="59"/>
      <c r="P1049" s="62" t="str">
        <f>IF(LEN(O1049)&gt;0,IF(OR(ISLOGICAL(O1049),O1049="TRUE"),"Yes",""),"")</f>
      </c>
      <c r="Q1049" s="62" t="s">
        <v>104</v>
      </c>
      <c r="R1049" s="63"/>
    </row>
    <row r="1050" spans="1:18" s="47" customFormat="1" ht="51">
      <c r="A1050" s="63" t="s">
        <v>2174</v>
      </c>
      <c r="B1050" s="63" t="s">
        <v>96</v>
      </c>
      <c r="C1050" s="63" t="s">
        <v>2175</v>
      </c>
      <c r="D1050" s="61"/>
      <c r="E1050" s="45">
        <v>0.0095</v>
      </c>
      <c r="F1050" s="45">
        <v>0.0095</v>
      </c>
      <c r="G1050" s="66">
        <v>46071</v>
      </c>
      <c r="H1050" s="45" t="str">
        <f>IF(ISNUMBER(E1050),F1050-E1050,"N/A")</f>
        <v>N/A</v>
      </c>
      <c r="I1050" s="46" t="str">
        <f>IF(E1050&lt;&gt;"",IF(F1050=E1050,"No Change",IF(F1050&gt;E1050,"Increase","Decrease")),"New")</f>
        <v>Increase</v>
      </c>
      <c r="J1050" s="58" t="s">
        <v>122</v>
      </c>
      <c r="K1050" s="59" t="str">
        <f>IF(LEN(J1050)&gt;0,IF(OR(ISLOGICAL(J1050),J1050="TRUE"),"Yes",""),"")</f>
      </c>
      <c r="L1050" s="59"/>
      <c r="M1050" s="59"/>
      <c r="N1050" s="62" t="str">
        <f>IF(LEN(M1050)&gt;0,IF(OR(ISLOGICAL(M1050),M1050="TRUE"),"Yes",""),"")</f>
      </c>
      <c r="O1050" s="59"/>
      <c r="P1050" s="62" t="str">
        <f>IF(LEN(O1050)&gt;0,IF(OR(ISLOGICAL(O1050),O1050="TRUE"),"Yes",""),"")</f>
      </c>
      <c r="Q1050" s="62" t="s">
        <v>104</v>
      </c>
      <c r="R1050" s="63"/>
    </row>
    <row r="1051" spans="1:18" s="47" customFormat="1" ht="51">
      <c r="A1051" s="63" t="s">
        <v>2176</v>
      </c>
      <c r="B1051" s="63" t="s">
        <v>96</v>
      </c>
      <c r="C1051" s="63" t="s">
        <v>2177</v>
      </c>
      <c r="D1051" s="61"/>
      <c r="E1051" s="45">
        <v>0.0095</v>
      </c>
      <c r="F1051" s="45">
        <v>0.0095</v>
      </c>
      <c r="G1051" s="66">
        <v>46071</v>
      </c>
      <c r="H1051" s="45" t="str">
        <f>IF(ISNUMBER(E1051),F1051-E1051,"N/A")</f>
        <v>N/A</v>
      </c>
      <c r="I1051" s="46" t="str">
        <f>IF(E1051&lt;&gt;"",IF(F1051=E1051,"No Change",IF(F1051&gt;E1051,"Increase","Decrease")),"New")</f>
        <v>Increase</v>
      </c>
      <c r="J1051" s="58" t="s">
        <v>122</v>
      </c>
      <c r="K1051" s="59" t="str">
        <f>IF(LEN(J1051)&gt;0,IF(OR(ISLOGICAL(J1051),J1051="TRUE"),"Yes",""),"")</f>
      </c>
      <c r="L1051" s="59"/>
      <c r="M1051" s="59"/>
      <c r="N1051" s="62" t="str">
        <f>IF(LEN(M1051)&gt;0,IF(OR(ISLOGICAL(M1051),M1051="TRUE"),"Yes",""),"")</f>
      </c>
      <c r="O1051" s="59"/>
      <c r="P1051" s="62" t="str">
        <f>IF(LEN(O1051)&gt;0,IF(OR(ISLOGICAL(O1051),O1051="TRUE"),"Yes",""),"")</f>
      </c>
      <c r="Q1051" s="62" t="s">
        <v>104</v>
      </c>
      <c r="R1051" s="63"/>
    </row>
    <row r="1052" spans="1:18" s="47" customFormat="1" ht="51">
      <c r="A1052" s="63" t="s">
        <v>2178</v>
      </c>
      <c r="B1052" s="63" t="s">
        <v>96</v>
      </c>
      <c r="C1052" s="63" t="s">
        <v>2179</v>
      </c>
      <c r="D1052" s="61"/>
      <c r="E1052" s="45">
        <v>0.395</v>
      </c>
      <c r="F1052" s="45">
        <v>0.395</v>
      </c>
      <c r="G1052" s="66">
        <v>46120</v>
      </c>
      <c r="H1052" s="45" t="str">
        <f>IF(ISNUMBER(E1052),F1052-E1052,"N/A")</f>
        <v>N/A</v>
      </c>
      <c r="I1052" s="46" t="str">
        <f>IF(E1052&lt;&gt;"",IF(F1052=E1052,"No Change",IF(F1052&gt;E1052,"Increase","Decrease")),"New")</f>
        <v>Increase</v>
      </c>
      <c r="J1052" s="58"/>
      <c r="K1052" s="59" t="str">
        <f>IF(LEN(J1052)&gt;0,IF(OR(ISLOGICAL(J1052),J1052="TRUE"),"Yes",""),"")</f>
      </c>
      <c r="L1052" s="59"/>
      <c r="M1052" s="59"/>
      <c r="N1052" s="62" t="str">
        <f>IF(LEN(M1052)&gt;0,IF(OR(ISLOGICAL(M1052),M1052="TRUE"),"Yes",""),"")</f>
      </c>
      <c r="O1052" s="59"/>
      <c r="P1052" s="62" t="str">
        <f>IF(LEN(O1052)&gt;0,IF(OR(ISLOGICAL(O1052),O1052="TRUE"),"Yes",""),"")</f>
      </c>
      <c r="Q1052" s="62" t="s">
        <v>98</v>
      </c>
      <c r="R1052" s="63"/>
    </row>
    <row r="1053" spans="1:18" s="47" customFormat="1" ht="51">
      <c r="A1053" s="63" t="s">
        <v>2180</v>
      </c>
      <c r="B1053" s="63" t="s">
        <v>96</v>
      </c>
      <c r="C1053" s="63" t="s">
        <v>2181</v>
      </c>
      <c r="D1053" s="61"/>
      <c r="E1053" s="45">
        <v>0.4175</v>
      </c>
      <c r="F1053" s="45">
        <v>0.4175</v>
      </c>
      <c r="G1053" s="66">
        <v>46127</v>
      </c>
      <c r="H1053" s="45" t="str">
        <f>IF(ISNUMBER(E1053),F1053-E1053,"N/A")</f>
        <v>N/A</v>
      </c>
      <c r="I1053" s="46" t="str">
        <f>IF(E1053&lt;&gt;"",IF(F1053=E1053,"No Change",IF(F1053&gt;E1053,"Increase","Decrease")),"New")</f>
        <v>Increase</v>
      </c>
      <c r="J1053" s="58"/>
      <c r="K1053" s="59" t="str">
        <f>IF(LEN(J1053)&gt;0,IF(OR(ISLOGICAL(J1053),J1053="TRUE"),"Yes",""),"")</f>
      </c>
      <c r="L1053" s="59"/>
      <c r="M1053" s="59"/>
      <c r="N1053" s="62" t="str">
        <f>IF(LEN(M1053)&gt;0,IF(OR(ISLOGICAL(M1053),M1053="TRUE"),"Yes",""),"")</f>
      </c>
      <c r="O1053" s="59"/>
      <c r="P1053" s="62" t="str">
        <f>IF(LEN(O1053)&gt;0,IF(OR(ISLOGICAL(O1053),O1053="TRUE"),"Yes",""),"")</f>
      </c>
      <c r="Q1053" s="62" t="s">
        <v>98</v>
      </c>
      <c r="R1053" s="63"/>
    </row>
    <row r="1054" spans="1:18" s="47" customFormat="1" ht="51">
      <c r="A1054" s="63" t="s">
        <v>2182</v>
      </c>
      <c r="B1054" s="63" t="s">
        <v>96</v>
      </c>
      <c r="C1054" s="63" t="s">
        <v>2183</v>
      </c>
      <c r="D1054" s="61"/>
      <c r="E1054" s="45">
        <v>0.395</v>
      </c>
      <c r="F1054" s="45">
        <v>0.395</v>
      </c>
      <c r="G1054" s="66">
        <v>46120</v>
      </c>
      <c r="H1054" s="45" t="str">
        <f>IF(ISNUMBER(E1054),F1054-E1054,"N/A")</f>
        <v>N/A</v>
      </c>
      <c r="I1054" s="46" t="str">
        <f>IF(E1054&lt;&gt;"",IF(F1054=E1054,"No Change",IF(F1054&gt;E1054,"Increase","Decrease")),"New")</f>
        <v>Increase</v>
      </c>
      <c r="J1054" s="58"/>
      <c r="K1054" s="59" t="str">
        <f>IF(LEN(J1054)&gt;0,IF(OR(ISLOGICAL(J1054),J1054="TRUE"),"Yes",""),"")</f>
      </c>
      <c r="L1054" s="59"/>
      <c r="M1054" s="59"/>
      <c r="N1054" s="62" t="str">
        <f>IF(LEN(M1054)&gt;0,IF(OR(ISLOGICAL(M1054),M1054="TRUE"),"Yes",""),"")</f>
      </c>
      <c r="O1054" s="59"/>
      <c r="P1054" s="62" t="str">
        <f>IF(LEN(O1054)&gt;0,IF(OR(ISLOGICAL(O1054),O1054="TRUE"),"Yes",""),"")</f>
      </c>
      <c r="Q1054" s="62" t="s">
        <v>98</v>
      </c>
      <c r="R1054" s="63"/>
    </row>
    <row r="1055" spans="1:18" s="47" customFormat="1" ht="51">
      <c r="A1055" s="63" t="s">
        <v>2184</v>
      </c>
      <c r="B1055" s="63" t="s">
        <v>96</v>
      </c>
      <c r="C1055" s="63" t="s">
        <v>2185</v>
      </c>
      <c r="D1055" s="61"/>
      <c r="E1055" s="45">
        <v>0.515</v>
      </c>
      <c r="F1055" s="45">
        <v>0.515</v>
      </c>
      <c r="G1055" s="66">
        <v>46078</v>
      </c>
      <c r="H1055" s="45" t="str">
        <f>IF(ISNUMBER(E1055),F1055-E1055,"N/A")</f>
        <v>N/A</v>
      </c>
      <c r="I1055" s="46" t="str">
        <f>IF(E1055&lt;&gt;"",IF(F1055=E1055,"No Change",IF(F1055&gt;E1055,"Increase","Decrease")),"New")</f>
        <v>Increase</v>
      </c>
      <c r="J1055" s="58"/>
      <c r="K1055" s="59" t="str">
        <f>IF(LEN(J1055)&gt;0,IF(OR(ISLOGICAL(J1055),J1055="TRUE"),"Yes",""),"")</f>
      </c>
      <c r="L1055" s="59"/>
      <c r="M1055" s="59"/>
      <c r="N1055" s="62" t="str">
        <f>IF(LEN(M1055)&gt;0,IF(OR(ISLOGICAL(M1055),M1055="TRUE"),"Yes",""),"")</f>
      </c>
      <c r="O1055" s="59"/>
      <c r="P1055" s="62" t="str">
        <f>IF(LEN(O1055)&gt;0,IF(OR(ISLOGICAL(O1055),O1055="TRUE"),"Yes",""),"")</f>
      </c>
      <c r="Q1055" s="62" t="s">
        <v>98</v>
      </c>
      <c r="R1055" s="63"/>
    </row>
    <row r="1056" spans="1:18" s="47" customFormat="1" ht="51">
      <c r="A1056" s="63" t="s">
        <v>2186</v>
      </c>
      <c r="B1056" s="63" t="s">
        <v>96</v>
      </c>
      <c r="C1056" s="63" t="s">
        <v>2187</v>
      </c>
      <c r="D1056" s="61"/>
      <c r="E1056" s="45">
        <v>0.515</v>
      </c>
      <c r="F1056" s="45">
        <v>0.515</v>
      </c>
      <c r="G1056" s="66">
        <v>46082</v>
      </c>
      <c r="H1056" s="45" t="str">
        <f>IF(ISNUMBER(E1056),F1056-E1056,"N/A")</f>
        <v>N/A</v>
      </c>
      <c r="I1056" s="46" t="str">
        <f>IF(E1056&lt;&gt;"",IF(F1056=E1056,"No Change",IF(F1056&gt;E1056,"Increase","Decrease")),"New")</f>
        <v>Increase</v>
      </c>
      <c r="J1056" s="58"/>
      <c r="K1056" s="59" t="str">
        <f>IF(LEN(J1056)&gt;0,IF(OR(ISLOGICAL(J1056),J1056="TRUE"),"Yes",""),"")</f>
      </c>
      <c r="L1056" s="59"/>
      <c r="M1056" s="59"/>
      <c r="N1056" s="62" t="str">
        <f>IF(LEN(M1056)&gt;0,IF(OR(ISLOGICAL(M1056),M1056="TRUE"),"Yes",""),"")</f>
      </c>
      <c r="O1056" s="59"/>
      <c r="P1056" s="62" t="str">
        <f>IF(LEN(O1056)&gt;0,IF(OR(ISLOGICAL(O1056),O1056="TRUE"),"Yes",""),"")</f>
      </c>
      <c r="Q1056" s="62" t="s">
        <v>98</v>
      </c>
      <c r="R1056" s="63"/>
    </row>
    <row r="1057" spans="1:18" s="47" customFormat="1" ht="51">
      <c r="A1057" s="63" t="s">
        <v>2188</v>
      </c>
      <c r="B1057" s="63" t="s">
        <v>96</v>
      </c>
      <c r="C1057" s="63" t="s">
        <v>2189</v>
      </c>
      <c r="D1057" s="61"/>
      <c r="E1057" s="45">
        <v>0.515</v>
      </c>
      <c r="F1057" s="45">
        <v>0.515</v>
      </c>
      <c r="G1057" s="66">
        <v>46143</v>
      </c>
      <c r="H1057" s="45" t="str">
        <f>IF(ISNUMBER(E1057),F1057-E1057,"N/A")</f>
        <v>N/A</v>
      </c>
      <c r="I1057" s="46" t="str">
        <f>IF(E1057&lt;&gt;"",IF(F1057=E1057,"No Change",IF(F1057&gt;E1057,"Increase","Decrease")),"New")</f>
        <v>Increase</v>
      </c>
      <c r="J1057" s="58"/>
      <c r="K1057" s="59" t="str">
        <f>IF(LEN(J1057)&gt;0,IF(OR(ISLOGICAL(J1057),J1057="TRUE"),"Yes",""),"")</f>
      </c>
      <c r="L1057" s="59"/>
      <c r="M1057" s="59"/>
      <c r="N1057" s="62" t="str">
        <f>IF(LEN(M1057)&gt;0,IF(OR(ISLOGICAL(M1057),M1057="TRUE"),"Yes",""),"")</f>
      </c>
      <c r="O1057" s="59"/>
      <c r="P1057" s="62" t="str">
        <f>IF(LEN(O1057)&gt;0,IF(OR(ISLOGICAL(O1057),O1057="TRUE"),"Yes",""),"")</f>
      </c>
      <c r="Q1057" s="62" t="s">
        <v>98</v>
      </c>
      <c r="R1057" s="63"/>
    </row>
    <row r="1058" spans="1:18" s="47" customFormat="1" ht="51">
      <c r="A1058" s="63" t="s">
        <v>2190</v>
      </c>
      <c r="B1058" s="63" t="s">
        <v>96</v>
      </c>
      <c r="C1058" s="63" t="s">
        <v>2191</v>
      </c>
      <c r="D1058" s="61"/>
      <c r="E1058" s="45">
        <v>0.515</v>
      </c>
      <c r="F1058" s="45">
        <v>0.515</v>
      </c>
      <c r="G1058" s="66">
        <v>46082</v>
      </c>
      <c r="H1058" s="45" t="str">
        <f>IF(ISNUMBER(E1058),F1058-E1058,"N/A")</f>
        <v>N/A</v>
      </c>
      <c r="I1058" s="46" t="str">
        <f>IF(E1058&lt;&gt;"",IF(F1058=E1058,"No Change",IF(F1058&gt;E1058,"Increase","Decrease")),"New")</f>
        <v>Increase</v>
      </c>
      <c r="J1058" s="58"/>
      <c r="K1058" s="59" t="str">
        <f>IF(LEN(J1058)&gt;0,IF(OR(ISLOGICAL(J1058),J1058="TRUE"),"Yes",""),"")</f>
      </c>
      <c r="L1058" s="59"/>
      <c r="M1058" s="59"/>
      <c r="N1058" s="62" t="str">
        <f>IF(LEN(M1058)&gt;0,IF(OR(ISLOGICAL(M1058),M1058="TRUE"),"Yes",""),"")</f>
      </c>
      <c r="O1058" s="59"/>
      <c r="P1058" s="62" t="str">
        <f>IF(LEN(O1058)&gt;0,IF(OR(ISLOGICAL(O1058),O1058="TRUE"),"Yes",""),"")</f>
      </c>
      <c r="Q1058" s="62" t="s">
        <v>98</v>
      </c>
      <c r="R1058" s="63"/>
    </row>
    <row r="1059" spans="1:18" s="47" customFormat="1" ht="51">
      <c r="A1059" s="63" t="s">
        <v>2192</v>
      </c>
      <c r="B1059" s="63" t="s">
        <v>96</v>
      </c>
      <c r="C1059" s="63" t="s">
        <v>2193</v>
      </c>
      <c r="D1059" s="61"/>
      <c r="E1059" s="45">
        <v>0.515</v>
      </c>
      <c r="F1059" s="45">
        <v>0.515</v>
      </c>
      <c r="G1059" s="66">
        <v>46082</v>
      </c>
      <c r="H1059" s="45" t="str">
        <f>IF(ISNUMBER(E1059),F1059-E1059,"N/A")</f>
        <v>N/A</v>
      </c>
      <c r="I1059" s="46" t="str">
        <f>IF(E1059&lt;&gt;"",IF(F1059=E1059,"No Change",IF(F1059&gt;E1059,"Increase","Decrease")),"New")</f>
        <v>Increase</v>
      </c>
      <c r="J1059" s="58"/>
      <c r="K1059" s="59" t="str">
        <f>IF(LEN(J1059)&gt;0,IF(OR(ISLOGICAL(J1059),J1059="TRUE"),"Yes",""),"")</f>
      </c>
      <c r="L1059" s="59"/>
      <c r="M1059" s="59"/>
      <c r="N1059" s="62" t="str">
        <f>IF(LEN(M1059)&gt;0,IF(OR(ISLOGICAL(M1059),M1059="TRUE"),"Yes",""),"")</f>
      </c>
      <c r="O1059" s="59"/>
      <c r="P1059" s="62" t="str">
        <f>IF(LEN(O1059)&gt;0,IF(OR(ISLOGICAL(O1059),O1059="TRUE"),"Yes",""),"")</f>
      </c>
      <c r="Q1059" s="62" t="s">
        <v>98</v>
      </c>
      <c r="R1059" s="63"/>
    </row>
    <row r="1060" spans="1:18" s="47" customFormat="1" ht="51">
      <c r="A1060" s="63" t="s">
        <v>2194</v>
      </c>
      <c r="B1060" s="63" t="s">
        <v>96</v>
      </c>
      <c r="C1060" s="63" t="s">
        <v>2195</v>
      </c>
      <c r="D1060" s="61"/>
      <c r="E1060" s="45">
        <v>0.515</v>
      </c>
      <c r="F1060" s="45">
        <v>0.515</v>
      </c>
      <c r="G1060" s="66">
        <v>46082</v>
      </c>
      <c r="H1060" s="45" t="str">
        <f>IF(ISNUMBER(E1060),F1060-E1060,"N/A")</f>
        <v>N/A</v>
      </c>
      <c r="I1060" s="46" t="str">
        <f>IF(E1060&lt;&gt;"",IF(F1060=E1060,"No Change",IF(F1060&gt;E1060,"Increase","Decrease")),"New")</f>
        <v>Increase</v>
      </c>
      <c r="J1060" s="58"/>
      <c r="K1060" s="59" t="str">
        <f>IF(LEN(J1060)&gt;0,IF(OR(ISLOGICAL(J1060),J1060="TRUE"),"Yes",""),"")</f>
      </c>
      <c r="L1060" s="59"/>
      <c r="M1060" s="59"/>
      <c r="N1060" s="62" t="str">
        <f>IF(LEN(M1060)&gt;0,IF(OR(ISLOGICAL(M1060),M1060="TRUE"),"Yes",""),"")</f>
      </c>
      <c r="O1060" s="59"/>
      <c r="P1060" s="62" t="str">
        <f>IF(LEN(O1060)&gt;0,IF(OR(ISLOGICAL(O1060),O1060="TRUE"),"Yes",""),"")</f>
      </c>
      <c r="Q1060" s="62" t="s">
        <v>98</v>
      </c>
      <c r="R1060" s="63"/>
    </row>
    <row r="1061" spans="1:18" s="47" customFormat="1" ht="51">
      <c r="A1061" s="63" t="s">
        <v>2196</v>
      </c>
      <c r="B1061" s="63" t="s">
        <v>96</v>
      </c>
      <c r="C1061" s="63" t="s">
        <v>2197</v>
      </c>
      <c r="D1061" s="61"/>
      <c r="E1061" s="45">
        <v>0.515</v>
      </c>
      <c r="F1061" s="45">
        <v>0.515</v>
      </c>
      <c r="G1061" s="66">
        <v>46078</v>
      </c>
      <c r="H1061" s="45" t="str">
        <f>IF(ISNUMBER(E1061),F1061-E1061,"N/A")</f>
        <v>N/A</v>
      </c>
      <c r="I1061" s="46" t="str">
        <f>IF(E1061&lt;&gt;"",IF(F1061=E1061,"No Change",IF(F1061&gt;E1061,"Increase","Decrease")),"New")</f>
        <v>Increase</v>
      </c>
      <c r="J1061" s="58" t="s">
        <v>122</v>
      </c>
      <c r="K1061" s="59" t="str">
        <f>IF(LEN(J1061)&gt;0,IF(OR(ISLOGICAL(J1061),J1061="TRUE"),"Yes",""),"")</f>
      </c>
      <c r="L1061" s="59"/>
      <c r="M1061" s="59"/>
      <c r="N1061" s="62" t="str">
        <f>IF(LEN(M1061)&gt;0,IF(OR(ISLOGICAL(M1061),M1061="TRUE"),"Yes",""),"")</f>
      </c>
      <c r="O1061" s="59"/>
      <c r="P1061" s="62" t="str">
        <f>IF(LEN(O1061)&gt;0,IF(OR(ISLOGICAL(O1061),O1061="TRUE"),"Yes",""),"")</f>
      </c>
      <c r="Q1061" s="62" t="s">
        <v>98</v>
      </c>
      <c r="R1061" s="63"/>
    </row>
    <row r="1062" spans="1:18" s="47" customFormat="1" ht="51">
      <c r="A1062" s="63" t="s">
        <v>2198</v>
      </c>
      <c r="B1062" s="63" t="s">
        <v>96</v>
      </c>
      <c r="C1062" s="63" t="s">
        <v>2199</v>
      </c>
      <c r="D1062" s="61"/>
      <c r="E1062" s="45">
        <v>0.515</v>
      </c>
      <c r="F1062" s="45">
        <v>0.515</v>
      </c>
      <c r="G1062" s="66">
        <v>46143</v>
      </c>
      <c r="H1062" s="45" t="str">
        <f>IF(ISNUMBER(E1062),F1062-E1062,"N/A")</f>
        <v>N/A</v>
      </c>
      <c r="I1062" s="46" t="str">
        <f>IF(E1062&lt;&gt;"",IF(F1062=E1062,"No Change",IF(F1062&gt;E1062,"Increase","Decrease")),"New")</f>
        <v>Increase</v>
      </c>
      <c r="J1062" s="58" t="s">
        <v>122</v>
      </c>
      <c r="K1062" s="59" t="str">
        <f>IF(LEN(J1062)&gt;0,IF(OR(ISLOGICAL(J1062),J1062="TRUE"),"Yes",""),"")</f>
      </c>
      <c r="L1062" s="59"/>
      <c r="M1062" s="59"/>
      <c r="N1062" s="62" t="str">
        <f>IF(LEN(M1062)&gt;0,IF(OR(ISLOGICAL(M1062),M1062="TRUE"),"Yes",""),"")</f>
      </c>
      <c r="O1062" s="59"/>
      <c r="P1062" s="62" t="str">
        <f>IF(LEN(O1062)&gt;0,IF(OR(ISLOGICAL(O1062),O1062="TRUE"),"Yes",""),"")</f>
      </c>
      <c r="Q1062" s="62" t="s">
        <v>98</v>
      </c>
      <c r="R1062" s="63"/>
    </row>
    <row r="1063" spans="1:18" s="47" customFormat="1" ht="51">
      <c r="A1063" s="63" t="s">
        <v>2200</v>
      </c>
      <c r="B1063" s="63" t="s">
        <v>96</v>
      </c>
      <c r="C1063" s="63" t="s">
        <v>2201</v>
      </c>
      <c r="D1063" s="61"/>
      <c r="E1063" s="45">
        <v>0.515</v>
      </c>
      <c r="F1063" s="45">
        <v>0.515</v>
      </c>
      <c r="G1063" s="66">
        <v>46078</v>
      </c>
      <c r="H1063" s="45" t="str">
        <f>IF(ISNUMBER(E1063),F1063-E1063,"N/A")</f>
        <v>N/A</v>
      </c>
      <c r="I1063" s="46" t="str">
        <f>IF(E1063&lt;&gt;"",IF(F1063=E1063,"No Change",IF(F1063&gt;E1063,"Increase","Decrease")),"New")</f>
        <v>Increase</v>
      </c>
      <c r="J1063" s="58" t="s">
        <v>122</v>
      </c>
      <c r="K1063" s="59" t="str">
        <f>IF(LEN(J1063)&gt;0,IF(OR(ISLOGICAL(J1063),J1063="TRUE"),"Yes",""),"")</f>
      </c>
      <c r="L1063" s="59"/>
      <c r="M1063" s="59"/>
      <c r="N1063" s="62" t="str">
        <f>IF(LEN(M1063)&gt;0,IF(OR(ISLOGICAL(M1063),M1063="TRUE"),"Yes",""),"")</f>
      </c>
      <c r="O1063" s="59"/>
      <c r="P1063" s="62" t="str">
        <f>IF(LEN(O1063)&gt;0,IF(OR(ISLOGICAL(O1063),O1063="TRUE"),"Yes",""),"")</f>
      </c>
      <c r="Q1063" s="62" t="s">
        <v>98</v>
      </c>
      <c r="R1063" s="63"/>
    </row>
    <row r="1064" spans="1:18" s="47" customFormat="1" ht="51">
      <c r="A1064" s="63" t="s">
        <v>2202</v>
      </c>
      <c r="B1064" s="63" t="s">
        <v>96</v>
      </c>
      <c r="C1064" s="63" t="s">
        <v>2203</v>
      </c>
      <c r="D1064" s="61"/>
      <c r="E1064" s="45">
        <v>0.515</v>
      </c>
      <c r="F1064" s="45">
        <v>0.515</v>
      </c>
      <c r="G1064" s="66">
        <v>46082</v>
      </c>
      <c r="H1064" s="45" t="str">
        <f>IF(ISNUMBER(E1064),F1064-E1064,"N/A")</f>
        <v>N/A</v>
      </c>
      <c r="I1064" s="46" t="str">
        <f>IF(E1064&lt;&gt;"",IF(F1064=E1064,"No Change",IF(F1064&gt;E1064,"Increase","Decrease")),"New")</f>
        <v>Increase</v>
      </c>
      <c r="J1064" s="58"/>
      <c r="K1064" s="59" t="str">
        <f>IF(LEN(J1064)&gt;0,IF(OR(ISLOGICAL(J1064),J1064="TRUE"),"Yes",""),"")</f>
      </c>
      <c r="L1064" s="59"/>
      <c r="M1064" s="59"/>
      <c r="N1064" s="62" t="str">
        <f>IF(LEN(M1064)&gt;0,IF(OR(ISLOGICAL(M1064),M1064="TRUE"),"Yes",""),"")</f>
      </c>
      <c r="O1064" s="59"/>
      <c r="P1064" s="62" t="str">
        <f>IF(LEN(O1064)&gt;0,IF(OR(ISLOGICAL(O1064),O1064="TRUE"),"Yes",""),"")</f>
      </c>
      <c r="Q1064" s="62" t="s">
        <v>98</v>
      </c>
      <c r="R1064" s="63"/>
    </row>
    <row r="1065" spans="1:18" s="47" customFormat="1" ht="51">
      <c r="A1065" s="63" t="s">
        <v>2204</v>
      </c>
      <c r="B1065" s="63" t="s">
        <v>96</v>
      </c>
      <c r="C1065" s="63" t="s">
        <v>2205</v>
      </c>
      <c r="D1065" s="61"/>
      <c r="E1065" s="45">
        <v>0.515</v>
      </c>
      <c r="F1065" s="45">
        <v>0.515</v>
      </c>
      <c r="G1065" s="66">
        <v>46078</v>
      </c>
      <c r="H1065" s="45" t="str">
        <f>IF(ISNUMBER(E1065),F1065-E1065,"N/A")</f>
        <v>N/A</v>
      </c>
      <c r="I1065" s="46" t="str">
        <f>IF(E1065&lt;&gt;"",IF(F1065=E1065,"No Change",IF(F1065&gt;E1065,"Increase","Decrease")),"New")</f>
        <v>Increase</v>
      </c>
      <c r="J1065" s="58"/>
      <c r="K1065" s="59" t="str">
        <f>IF(LEN(J1065)&gt;0,IF(OR(ISLOGICAL(J1065),J1065="TRUE"),"Yes",""),"")</f>
      </c>
      <c r="L1065" s="59"/>
      <c r="M1065" s="59"/>
      <c r="N1065" s="62" t="str">
        <f>IF(LEN(M1065)&gt;0,IF(OR(ISLOGICAL(M1065),M1065="TRUE"),"Yes",""),"")</f>
      </c>
      <c r="O1065" s="59"/>
      <c r="P1065" s="62" t="str">
        <f>IF(LEN(O1065)&gt;0,IF(OR(ISLOGICAL(O1065),O1065="TRUE"),"Yes",""),"")</f>
      </c>
      <c r="Q1065" s="62" t="s">
        <v>98</v>
      </c>
      <c r="R1065" s="63"/>
    </row>
    <row r="1066" spans="1:18" s="47" customFormat="1" ht="51">
      <c r="A1066" s="63" t="s">
        <v>2206</v>
      </c>
      <c r="B1066" s="63" t="s">
        <v>96</v>
      </c>
      <c r="C1066" s="63" t="s">
        <v>2207</v>
      </c>
      <c r="D1066" s="61"/>
      <c r="E1066" s="45">
        <v>0.515</v>
      </c>
      <c r="F1066" s="45">
        <v>0.515</v>
      </c>
      <c r="G1066" s="66">
        <v>46082</v>
      </c>
      <c r="H1066" s="45" t="str">
        <f>IF(ISNUMBER(E1066),F1066-E1066,"N/A")</f>
        <v>N/A</v>
      </c>
      <c r="I1066" s="46" t="str">
        <f>IF(E1066&lt;&gt;"",IF(F1066=E1066,"No Change",IF(F1066&gt;E1066,"Increase","Decrease")),"New")</f>
        <v>Increase</v>
      </c>
      <c r="J1066" s="58"/>
      <c r="K1066" s="59" t="str">
        <f>IF(LEN(J1066)&gt;0,IF(OR(ISLOGICAL(J1066),J1066="TRUE"),"Yes",""),"")</f>
      </c>
      <c r="L1066" s="59"/>
      <c r="M1066" s="59"/>
      <c r="N1066" s="62" t="str">
        <f>IF(LEN(M1066)&gt;0,IF(OR(ISLOGICAL(M1066),M1066="TRUE"),"Yes",""),"")</f>
      </c>
      <c r="O1066" s="59"/>
      <c r="P1066" s="62" t="str">
        <f>IF(LEN(O1066)&gt;0,IF(OR(ISLOGICAL(O1066),O1066="TRUE"),"Yes",""),"")</f>
      </c>
      <c r="Q1066" s="62" t="s">
        <v>98</v>
      </c>
      <c r="R1066" s="63"/>
    </row>
    <row r="1067" spans="1:18" s="47" customFormat="1" ht="51">
      <c r="A1067" s="63" t="s">
        <v>2208</v>
      </c>
      <c r="B1067" s="63" t="s">
        <v>96</v>
      </c>
      <c r="C1067" s="63" t="s">
        <v>2209</v>
      </c>
      <c r="D1067" s="61"/>
      <c r="E1067" s="45">
        <v>0.1302</v>
      </c>
      <c r="F1067" s="45">
        <v>0.1302</v>
      </c>
      <c r="G1067" s="66">
        <v>45540</v>
      </c>
      <c r="H1067" s="45" t="str">
        <f>IF(ISNUMBER(E1067),F1067-E1067,"N/A")</f>
        <v>N/A</v>
      </c>
      <c r="I1067" s="46" t="str">
        <f>IF(E1067&lt;&gt;"",IF(F1067=E1067,"No Change",IF(F1067&gt;E1067,"Increase","Decrease")),"New")</f>
        <v>Increase</v>
      </c>
      <c r="J1067" s="58"/>
      <c r="K1067" s="59" t="str">
        <f>IF(LEN(J1067)&gt;0,IF(OR(ISLOGICAL(J1067),J1067="TRUE"),"Yes",""),"")</f>
      </c>
      <c r="L1067" s="59"/>
      <c r="M1067" s="59"/>
      <c r="N1067" s="62" t="str">
        <f>IF(LEN(M1067)&gt;0,IF(OR(ISLOGICAL(M1067),M1067="TRUE"),"Yes",""),"")</f>
      </c>
      <c r="O1067" s="59"/>
      <c r="P1067" s="62" t="str">
        <f>IF(LEN(O1067)&gt;0,IF(OR(ISLOGICAL(O1067),O1067="TRUE"),"Yes",""),"")</f>
      </c>
      <c r="Q1067" s="62" t="s">
        <v>109</v>
      </c>
      <c r="R1067" s="63"/>
    </row>
    <row r="1068" spans="1:18" s="47" customFormat="1" ht="51">
      <c r="A1068" s="63" t="s">
        <v>2210</v>
      </c>
      <c r="B1068" s="63" t="s">
        <v>96</v>
      </c>
      <c r="C1068" s="63" t="s">
        <v>2211</v>
      </c>
      <c r="D1068" s="61"/>
      <c r="E1068" s="45">
        <v>0.1302</v>
      </c>
      <c r="F1068" s="45">
        <v>0.1302</v>
      </c>
      <c r="G1068" s="66">
        <v>45540</v>
      </c>
      <c r="H1068" s="45" t="str">
        <f>IF(ISNUMBER(E1068),F1068-E1068,"N/A")</f>
        <v>N/A</v>
      </c>
      <c r="I1068" s="46" t="str">
        <f>IF(E1068&lt;&gt;"",IF(F1068=E1068,"No Change",IF(F1068&gt;E1068,"Increase","Decrease")),"New")</f>
        <v>Increase</v>
      </c>
      <c r="J1068" s="58"/>
      <c r="K1068" s="59" t="str">
        <f>IF(LEN(J1068)&gt;0,IF(OR(ISLOGICAL(J1068),J1068="TRUE"),"Yes",""),"")</f>
      </c>
      <c r="L1068" s="59"/>
      <c r="M1068" s="59"/>
      <c r="N1068" s="62" t="str">
        <f>IF(LEN(M1068)&gt;0,IF(OR(ISLOGICAL(M1068),M1068="TRUE"),"Yes",""),"")</f>
      </c>
      <c r="O1068" s="59"/>
      <c r="P1068" s="62" t="str">
        <f>IF(LEN(O1068)&gt;0,IF(OR(ISLOGICAL(O1068),O1068="TRUE"),"Yes",""),"")</f>
      </c>
      <c r="Q1068" s="62" t="s">
        <v>109</v>
      </c>
      <c r="R1068" s="63"/>
    </row>
    <row r="1069" spans="1:18" s="47" customFormat="1" ht="51">
      <c r="A1069" s="63" t="s">
        <v>2212</v>
      </c>
      <c r="B1069" s="63" t="s">
        <v>96</v>
      </c>
      <c r="C1069" s="63" t="s">
        <v>2213</v>
      </c>
      <c r="D1069" s="61"/>
      <c r="E1069" s="45">
        <v>0.1278</v>
      </c>
      <c r="F1069" s="45">
        <v>0.1278</v>
      </c>
      <c r="G1069" s="66">
        <v>45540</v>
      </c>
      <c r="H1069" s="45" t="str">
        <f>IF(ISNUMBER(E1069),F1069-E1069,"N/A")</f>
        <v>N/A</v>
      </c>
      <c r="I1069" s="46" t="str">
        <f>IF(E1069&lt;&gt;"",IF(F1069=E1069,"No Change",IF(F1069&gt;E1069,"Increase","Decrease")),"New")</f>
        <v>Increase</v>
      </c>
      <c r="J1069" s="58"/>
      <c r="K1069" s="59" t="str">
        <f>IF(LEN(J1069)&gt;0,IF(OR(ISLOGICAL(J1069),J1069="TRUE"),"Yes",""),"")</f>
      </c>
      <c r="L1069" s="59"/>
      <c r="M1069" s="59"/>
      <c r="N1069" s="62" t="str">
        <f>IF(LEN(M1069)&gt;0,IF(OR(ISLOGICAL(M1069),M1069="TRUE"),"Yes",""),"")</f>
      </c>
      <c r="O1069" s="59"/>
      <c r="P1069" s="62" t="str">
        <f>IF(LEN(O1069)&gt;0,IF(OR(ISLOGICAL(O1069),O1069="TRUE"),"Yes",""),"")</f>
      </c>
      <c r="Q1069" s="62" t="s">
        <v>109</v>
      </c>
      <c r="R1069" s="63"/>
    </row>
    <row r="1070" spans="1:18" s="47" customFormat="1" ht="51">
      <c r="A1070" s="63" t="s">
        <v>2214</v>
      </c>
      <c r="B1070" s="63" t="s">
        <v>96</v>
      </c>
      <c r="C1070" s="63" t="s">
        <v>2215</v>
      </c>
      <c r="D1070" s="61"/>
      <c r="E1070" s="45">
        <v>0.125</v>
      </c>
      <c r="F1070" s="45">
        <v>0.125</v>
      </c>
      <c r="G1070" s="66">
        <v>46029</v>
      </c>
      <c r="H1070" s="45" t="str">
        <f>IF(ISNUMBER(E1070),F1070-E1070,"N/A")</f>
        <v>N/A</v>
      </c>
      <c r="I1070" s="46" t="str">
        <f>IF(E1070&lt;&gt;"",IF(F1070=E1070,"No Change",IF(F1070&gt;E1070,"Increase","Decrease")),"New")</f>
        <v>Increase</v>
      </c>
      <c r="J1070" s="58" t="s">
        <v>122</v>
      </c>
      <c r="K1070" s="59" t="str">
        <f>IF(LEN(J1070)&gt;0,IF(OR(ISLOGICAL(J1070),J1070="TRUE"),"Yes",""),"")</f>
      </c>
      <c r="L1070" s="59"/>
      <c r="M1070" s="59"/>
      <c r="N1070" s="62" t="str">
        <f>IF(LEN(M1070)&gt;0,IF(OR(ISLOGICAL(M1070),M1070="TRUE"),"Yes",""),"")</f>
      </c>
      <c r="O1070" s="59"/>
      <c r="P1070" s="62" t="str">
        <f>IF(LEN(O1070)&gt;0,IF(OR(ISLOGICAL(O1070),O1070="TRUE"),"Yes",""),"")</f>
      </c>
      <c r="Q1070" s="62" t="s">
        <v>109</v>
      </c>
      <c r="R1070" s="63"/>
    </row>
    <row r="1071" spans="1:18" s="47" customFormat="1" ht="51">
      <c r="A1071" s="63" t="s">
        <v>2216</v>
      </c>
      <c r="B1071" s="63" t="s">
        <v>96</v>
      </c>
      <c r="C1071" s="63" t="s">
        <v>2217</v>
      </c>
      <c r="D1071" s="61"/>
      <c r="E1071" s="45">
        <v>0.1305</v>
      </c>
      <c r="F1071" s="45">
        <v>0.1305</v>
      </c>
      <c r="G1071" s="66">
        <v>45728</v>
      </c>
      <c r="H1071" s="45" t="str">
        <f>IF(ISNUMBER(E1071),F1071-E1071,"N/A")</f>
        <v>N/A</v>
      </c>
      <c r="I1071" s="46" t="str">
        <f>IF(E1071&lt;&gt;"",IF(F1071=E1071,"No Change",IF(F1071&gt;E1071,"Increase","Decrease")),"New")</f>
        <v>Increase</v>
      </c>
      <c r="J1071" s="58" t="s">
        <v>122</v>
      </c>
      <c r="K1071" s="59" t="str">
        <f>IF(LEN(J1071)&gt;0,IF(OR(ISLOGICAL(J1071),J1071="TRUE"),"Yes",""),"")</f>
      </c>
      <c r="L1071" s="59"/>
      <c r="M1071" s="59"/>
      <c r="N1071" s="62" t="str">
        <f>IF(LEN(M1071)&gt;0,IF(OR(ISLOGICAL(M1071),M1071="TRUE"),"Yes",""),"")</f>
      </c>
      <c r="O1071" s="59"/>
      <c r="P1071" s="62" t="str">
        <f>IF(LEN(O1071)&gt;0,IF(OR(ISLOGICAL(O1071),O1071="TRUE"),"Yes",""),"")</f>
      </c>
      <c r="Q1071" s="62" t="s">
        <v>109</v>
      </c>
      <c r="R1071" s="63"/>
    </row>
    <row r="1072" spans="1:18" s="47" customFormat="1" ht="51">
      <c r="A1072" s="63" t="s">
        <v>2218</v>
      </c>
      <c r="B1072" s="63" t="s">
        <v>96</v>
      </c>
      <c r="C1072" s="63" t="s">
        <v>2219</v>
      </c>
      <c r="D1072" s="61"/>
      <c r="E1072" s="45">
        <v>0.1245</v>
      </c>
      <c r="F1072" s="45">
        <v>0.1245</v>
      </c>
      <c r="G1072" s="66">
        <v>46085</v>
      </c>
      <c r="H1072" s="45" t="str">
        <f>IF(ISNUMBER(E1072),F1072-E1072,"N/A")</f>
        <v>N/A</v>
      </c>
      <c r="I1072" s="46" t="str">
        <f>IF(E1072&lt;&gt;"",IF(F1072=E1072,"No Change",IF(F1072&gt;E1072,"Increase","Decrease")),"New")</f>
        <v>Increase</v>
      </c>
      <c r="J1072" s="58" t="s">
        <v>122</v>
      </c>
      <c r="K1072" s="59" t="str">
        <f>IF(LEN(J1072)&gt;0,IF(OR(ISLOGICAL(J1072),J1072="TRUE"),"Yes",""),"")</f>
      </c>
      <c r="L1072" s="59"/>
      <c r="M1072" s="59"/>
      <c r="N1072" s="62" t="str">
        <f>IF(LEN(M1072)&gt;0,IF(OR(ISLOGICAL(M1072),M1072="TRUE"),"Yes",""),"")</f>
      </c>
      <c r="O1072" s="59"/>
      <c r="P1072" s="62" t="str">
        <f>IF(LEN(O1072)&gt;0,IF(OR(ISLOGICAL(O1072),O1072="TRUE"),"Yes",""),"")</f>
      </c>
      <c r="Q1072" s="62" t="s">
        <v>109</v>
      </c>
      <c r="R1072" s="63"/>
    </row>
    <row r="1073" spans="1:18" s="47" customFormat="1" ht="51">
      <c r="A1073" s="63" t="s">
        <v>2220</v>
      </c>
      <c r="B1073" s="63" t="s">
        <v>96</v>
      </c>
      <c r="C1073" s="63" t="s">
        <v>2221</v>
      </c>
      <c r="D1073" s="61"/>
      <c r="E1073" s="45">
        <v>0.1243</v>
      </c>
      <c r="F1073" s="45">
        <v>0.1243</v>
      </c>
      <c r="G1073" s="66">
        <v>46113</v>
      </c>
      <c r="H1073" s="45" t="str">
        <f>IF(ISNUMBER(E1073),F1073-E1073,"N/A")</f>
        <v>N/A</v>
      </c>
      <c r="I1073" s="46" t="str">
        <f>IF(E1073&lt;&gt;"",IF(F1073=E1073,"No Change",IF(F1073&gt;E1073,"Increase","Decrease")),"New")</f>
        <v>Increase</v>
      </c>
      <c r="J1073" s="58" t="s">
        <v>122</v>
      </c>
      <c r="K1073" s="59" t="str">
        <f>IF(LEN(J1073)&gt;0,IF(OR(ISLOGICAL(J1073),J1073="TRUE"),"Yes",""),"")</f>
      </c>
      <c r="L1073" s="59"/>
      <c r="M1073" s="59"/>
      <c r="N1073" s="62" t="str">
        <f>IF(LEN(M1073)&gt;0,IF(OR(ISLOGICAL(M1073),M1073="TRUE"),"Yes",""),"")</f>
      </c>
      <c r="O1073" s="59"/>
      <c r="P1073" s="62" t="str">
        <f>IF(LEN(O1073)&gt;0,IF(OR(ISLOGICAL(O1073),O1073="TRUE"),"Yes",""),"")</f>
      </c>
      <c r="Q1073" s="62" t="s">
        <v>109</v>
      </c>
      <c r="R1073" s="63"/>
    </row>
    <row r="1074" spans="1:18" s="47" customFormat="1" ht="51">
      <c r="A1074" s="63" t="s">
        <v>2222</v>
      </c>
      <c r="B1074" s="63" t="s">
        <v>96</v>
      </c>
      <c r="C1074" s="63" t="s">
        <v>2223</v>
      </c>
      <c r="D1074" s="61"/>
      <c r="E1074" s="45">
        <v>0.1201</v>
      </c>
      <c r="F1074" s="45">
        <v>0.1201</v>
      </c>
      <c r="G1074" s="66">
        <v>45540</v>
      </c>
      <c r="H1074" s="45" t="str">
        <f>IF(ISNUMBER(E1074),F1074-E1074,"N/A")</f>
        <v>N/A</v>
      </c>
      <c r="I1074" s="46" t="str">
        <f>IF(E1074&lt;&gt;"",IF(F1074=E1074,"No Change",IF(F1074&gt;E1074,"Increase","Decrease")),"New")</f>
        <v>Increase</v>
      </c>
      <c r="J1074" s="58"/>
      <c r="K1074" s="59" t="str">
        <f>IF(LEN(J1074)&gt;0,IF(OR(ISLOGICAL(J1074),J1074="TRUE"),"Yes",""),"")</f>
      </c>
      <c r="L1074" s="59"/>
      <c r="M1074" s="59"/>
      <c r="N1074" s="62" t="str">
        <f>IF(LEN(M1074)&gt;0,IF(OR(ISLOGICAL(M1074),M1074="TRUE"),"Yes",""),"")</f>
      </c>
      <c r="O1074" s="59"/>
      <c r="P1074" s="62" t="str">
        <f>IF(LEN(O1074)&gt;0,IF(OR(ISLOGICAL(O1074),O1074="TRUE"),"Yes",""),"")</f>
      </c>
      <c r="Q1074" s="62" t="s">
        <v>109</v>
      </c>
      <c r="R1074" s="63"/>
    </row>
    <row r="1075" spans="1:18" s="47" customFormat="1" ht="51">
      <c r="A1075" s="63" t="s">
        <v>2224</v>
      </c>
      <c r="B1075" s="63" t="s">
        <v>96</v>
      </c>
      <c r="C1075" s="63" t="s">
        <v>2225</v>
      </c>
      <c r="D1075" s="61"/>
      <c r="E1075" s="45">
        <v>0.1305</v>
      </c>
      <c r="F1075" s="45">
        <v>0.1305</v>
      </c>
      <c r="G1075" s="66">
        <v>45728</v>
      </c>
      <c r="H1075" s="45" t="str">
        <f>IF(ISNUMBER(E1075),F1075-E1075,"N/A")</f>
        <v>N/A</v>
      </c>
      <c r="I1075" s="46" t="str">
        <f>IF(E1075&lt;&gt;"",IF(F1075=E1075,"No Change",IF(F1075&gt;E1075,"Increase","Decrease")),"New")</f>
        <v>Increase</v>
      </c>
      <c r="J1075" s="58" t="s">
        <v>122</v>
      </c>
      <c r="K1075" s="59" t="str">
        <f>IF(LEN(J1075)&gt;0,IF(OR(ISLOGICAL(J1075),J1075="TRUE"),"Yes",""),"")</f>
      </c>
      <c r="L1075" s="59"/>
      <c r="M1075" s="59"/>
      <c r="N1075" s="62" t="str">
        <f>IF(LEN(M1075)&gt;0,IF(OR(ISLOGICAL(M1075),M1075="TRUE"),"Yes",""),"")</f>
      </c>
      <c r="O1075" s="59"/>
      <c r="P1075" s="62" t="str">
        <f>IF(LEN(O1075)&gt;0,IF(OR(ISLOGICAL(O1075),O1075="TRUE"),"Yes",""),"")</f>
      </c>
      <c r="Q1075" s="62" t="s">
        <v>109</v>
      </c>
      <c r="R1075" s="63"/>
    </row>
    <row r="1076" spans="1:18" s="47" customFormat="1" ht="51">
      <c r="A1076" s="63" t="s">
        <v>2226</v>
      </c>
      <c r="B1076" s="63" t="s">
        <v>96</v>
      </c>
      <c r="C1076" s="63" t="s">
        <v>2227</v>
      </c>
      <c r="D1076" s="61"/>
      <c r="E1076" s="45">
        <v>0.124</v>
      </c>
      <c r="F1076" s="45">
        <v>0.128</v>
      </c>
      <c r="G1076" s="66">
        <v>46148</v>
      </c>
      <c r="H1076" s="45" t="str">
        <f>IF(ISNUMBER(E1076),F1076-E1076,"N/A")</f>
        <v>N/A</v>
      </c>
      <c r="I1076" s="46" t="str">
        <f>IF(E1076&lt;&gt;"",IF(F1076=E1076,"No Change",IF(F1076&gt;E1076,"Increase","Decrease")),"New")</f>
        <v>Increase</v>
      </c>
      <c r="J1076" s="58"/>
      <c r="K1076" s="59" t="str">
        <f>IF(LEN(J1076)&gt;0,IF(OR(ISLOGICAL(J1076),J1076="TRUE"),"Yes",""),"")</f>
      </c>
      <c r="L1076" s="59"/>
      <c r="M1076" s="59"/>
      <c r="N1076" s="62" t="str">
        <f>IF(LEN(M1076)&gt;0,IF(OR(ISLOGICAL(M1076),M1076="TRUE"),"Yes",""),"")</f>
      </c>
      <c r="O1076" s="59"/>
      <c r="P1076" s="62" t="str">
        <f>IF(LEN(O1076)&gt;0,IF(OR(ISLOGICAL(O1076),O1076="TRUE"),"Yes",""),"")</f>
      </c>
      <c r="Q1076" s="62" t="s">
        <v>109</v>
      </c>
      <c r="R1076" s="63"/>
    </row>
    <row r="1077" spans="1:18" s="47" customFormat="1" ht="51">
      <c r="A1077" s="63" t="s">
        <v>2228</v>
      </c>
      <c r="B1077" s="63" t="s">
        <v>96</v>
      </c>
      <c r="C1077" s="63" t="s">
        <v>2229</v>
      </c>
      <c r="D1077" s="61"/>
      <c r="E1077" s="45">
        <v>1.378</v>
      </c>
      <c r="F1077" s="45">
        <v>1.378</v>
      </c>
      <c r="G1077" s="66">
        <v>44489</v>
      </c>
      <c r="H1077" s="45" t="str">
        <f>IF(ISNUMBER(E1077),F1077-E1077,"N/A")</f>
        <v>N/A</v>
      </c>
      <c r="I1077" s="46" t="str">
        <f>IF(E1077&lt;&gt;"",IF(F1077=E1077,"No Change",IF(F1077&gt;E1077,"Increase","Decrease")),"New")</f>
        <v>Increase</v>
      </c>
      <c r="J1077" s="58"/>
      <c r="K1077" s="59" t="str">
        <f>IF(LEN(J1077)&gt;0,IF(OR(ISLOGICAL(J1077),J1077="TRUE"),"Yes",""),"")</f>
      </c>
      <c r="L1077" s="59"/>
      <c r="M1077" s="59"/>
      <c r="N1077" s="62" t="str">
        <f>IF(LEN(M1077)&gt;0,IF(OR(ISLOGICAL(M1077),M1077="TRUE"),"Yes",""),"")</f>
      </c>
      <c r="O1077" s="59"/>
      <c r="P1077" s="62" t="str">
        <f>IF(LEN(O1077)&gt;0,IF(OR(ISLOGICAL(O1077),O1077="TRUE"),"Yes",""),"")</f>
      </c>
      <c r="Q1077" s="62" t="s">
        <v>98</v>
      </c>
      <c r="R1077" s="63"/>
    </row>
    <row r="1078" spans="1:18" s="47" customFormat="1" ht="51">
      <c r="A1078" s="63" t="s">
        <v>2230</v>
      </c>
      <c r="B1078" s="63" t="s">
        <v>96</v>
      </c>
      <c r="C1078" s="63" t="s">
        <v>2231</v>
      </c>
      <c r="D1078" s="61"/>
      <c r="E1078" s="45">
        <v>0.235</v>
      </c>
      <c r="F1078" s="45">
        <v>0.235</v>
      </c>
      <c r="G1078" s="66">
        <v>46092</v>
      </c>
      <c r="H1078" s="45" t="str">
        <f>IF(ISNUMBER(E1078),F1078-E1078,"N/A")</f>
        <v>N/A</v>
      </c>
      <c r="I1078" s="46" t="str">
        <f>IF(E1078&lt;&gt;"",IF(F1078=E1078,"No Change",IF(F1078&gt;E1078,"Increase","Decrease")),"New")</f>
        <v>Increase</v>
      </c>
      <c r="J1078" s="58"/>
      <c r="K1078" s="59" t="str">
        <f>IF(LEN(J1078)&gt;0,IF(OR(ISLOGICAL(J1078),J1078="TRUE"),"Yes",""),"")</f>
      </c>
      <c r="L1078" s="59"/>
      <c r="M1078" s="59"/>
      <c r="N1078" s="62" t="str">
        <f>IF(LEN(M1078)&gt;0,IF(OR(ISLOGICAL(M1078),M1078="TRUE"),"Yes",""),"")</f>
      </c>
      <c r="O1078" s="59"/>
      <c r="P1078" s="62" t="str">
        <f>IF(LEN(O1078)&gt;0,IF(OR(ISLOGICAL(O1078),O1078="TRUE"),"Yes",""),"")</f>
      </c>
      <c r="Q1078" s="62" t="s">
        <v>98</v>
      </c>
      <c r="R1078" s="63"/>
    </row>
    <row r="1079" spans="1:18" s="47" customFormat="1" ht="51">
      <c r="A1079" s="63" t="s">
        <v>2232</v>
      </c>
      <c r="B1079" s="63" t="s">
        <v>96</v>
      </c>
      <c r="C1079" s="63" t="s">
        <v>2233</v>
      </c>
      <c r="D1079" s="61"/>
      <c r="E1079" s="45">
        <v>0.235</v>
      </c>
      <c r="F1079" s="45">
        <v>0.235</v>
      </c>
      <c r="G1079" s="66">
        <v>46082</v>
      </c>
      <c r="H1079" s="45" t="str">
        <f>IF(ISNUMBER(E1079),F1079-E1079,"N/A")</f>
        <v>N/A</v>
      </c>
      <c r="I1079" s="46" t="str">
        <f>IF(E1079&lt;&gt;"",IF(F1079=E1079,"No Change",IF(F1079&gt;E1079,"Increase","Decrease")),"New")</f>
        <v>Increase</v>
      </c>
      <c r="J1079" s="58"/>
      <c r="K1079" s="59" t="str">
        <f>IF(LEN(J1079)&gt;0,IF(OR(ISLOGICAL(J1079),J1079="TRUE"),"Yes",""),"")</f>
      </c>
      <c r="L1079" s="59"/>
      <c r="M1079" s="59"/>
      <c r="N1079" s="62" t="str">
        <f>IF(LEN(M1079)&gt;0,IF(OR(ISLOGICAL(M1079),M1079="TRUE"),"Yes",""),"")</f>
      </c>
      <c r="O1079" s="59"/>
      <c r="P1079" s="62" t="str">
        <f>IF(LEN(O1079)&gt;0,IF(OR(ISLOGICAL(O1079),O1079="TRUE"),"Yes",""),"")</f>
      </c>
      <c r="Q1079" s="62" t="s">
        <v>98</v>
      </c>
      <c r="R1079" s="63"/>
    </row>
    <row r="1080" spans="1:18" s="47" customFormat="1" ht="51">
      <c r="A1080" s="63" t="s">
        <v>2234</v>
      </c>
      <c r="B1080" s="63" t="s">
        <v>96</v>
      </c>
      <c r="C1080" s="63" t="s">
        <v>2235</v>
      </c>
      <c r="D1080" s="61"/>
      <c r="E1080" s="45">
        <v>0.235</v>
      </c>
      <c r="F1080" s="45">
        <v>0.235</v>
      </c>
      <c r="G1080" s="66">
        <v>46082</v>
      </c>
      <c r="H1080" s="45" t="str">
        <f>IF(ISNUMBER(E1080),F1080-E1080,"N/A")</f>
        <v>N/A</v>
      </c>
      <c r="I1080" s="46" t="str">
        <f>IF(E1080&lt;&gt;"",IF(F1080=E1080,"No Change",IF(F1080&gt;E1080,"Increase","Decrease")),"New")</f>
        <v>Increase</v>
      </c>
      <c r="J1080" s="58"/>
      <c r="K1080" s="59" t="str">
        <f>IF(LEN(J1080)&gt;0,IF(OR(ISLOGICAL(J1080),J1080="TRUE"),"Yes",""),"")</f>
      </c>
      <c r="L1080" s="59"/>
      <c r="M1080" s="59"/>
      <c r="N1080" s="62" t="str">
        <f>IF(LEN(M1080)&gt;0,IF(OR(ISLOGICAL(M1080),M1080="TRUE"),"Yes",""),"")</f>
      </c>
      <c r="O1080" s="59"/>
      <c r="P1080" s="62" t="str">
        <f>IF(LEN(O1080)&gt;0,IF(OR(ISLOGICAL(O1080),O1080="TRUE"),"Yes",""),"")</f>
      </c>
      <c r="Q1080" s="62" t="s">
        <v>98</v>
      </c>
      <c r="R1080" s="63"/>
    </row>
    <row r="1081" spans="1:18" s="47" customFormat="1" ht="51">
      <c r="A1081" s="63" t="s">
        <v>2236</v>
      </c>
      <c r="B1081" s="63" t="s">
        <v>96</v>
      </c>
      <c r="C1081" s="63" t="s">
        <v>2237</v>
      </c>
      <c r="D1081" s="61"/>
      <c r="E1081" s="45">
        <v>0.235</v>
      </c>
      <c r="F1081" s="45">
        <v>0.235</v>
      </c>
      <c r="G1081" s="66">
        <v>46078</v>
      </c>
      <c r="H1081" s="45" t="str">
        <f>IF(ISNUMBER(E1081),F1081-E1081,"N/A")</f>
        <v>N/A</v>
      </c>
      <c r="I1081" s="46" t="str">
        <f>IF(E1081&lt;&gt;"",IF(F1081=E1081,"No Change",IF(F1081&gt;E1081,"Increase","Decrease")),"New")</f>
        <v>Increase</v>
      </c>
      <c r="J1081" s="58"/>
      <c r="K1081" s="59" t="str">
        <f>IF(LEN(J1081)&gt;0,IF(OR(ISLOGICAL(J1081),J1081="TRUE"),"Yes",""),"")</f>
      </c>
      <c r="L1081" s="59"/>
      <c r="M1081" s="59"/>
      <c r="N1081" s="62" t="str">
        <f>IF(LEN(M1081)&gt;0,IF(OR(ISLOGICAL(M1081),M1081="TRUE"),"Yes",""),"")</f>
      </c>
      <c r="O1081" s="59"/>
      <c r="P1081" s="62" t="str">
        <f>IF(LEN(O1081)&gt;0,IF(OR(ISLOGICAL(O1081),O1081="TRUE"),"Yes",""),"")</f>
      </c>
      <c r="Q1081" s="62" t="s">
        <v>98</v>
      </c>
      <c r="R1081" s="63"/>
    </row>
    <row r="1082" spans="1:18" s="47" customFormat="1" ht="51">
      <c r="A1082" s="63" t="s">
        <v>2238</v>
      </c>
      <c r="B1082" s="63" t="s">
        <v>96</v>
      </c>
      <c r="C1082" s="63" t="s">
        <v>2239</v>
      </c>
      <c r="D1082" s="61"/>
      <c r="E1082" s="45">
        <v>0.235</v>
      </c>
      <c r="F1082" s="45">
        <v>0.235</v>
      </c>
      <c r="G1082" s="66">
        <v>46078</v>
      </c>
      <c r="H1082" s="45" t="str">
        <f>IF(ISNUMBER(E1082),F1082-E1082,"N/A")</f>
        <v>N/A</v>
      </c>
      <c r="I1082" s="46" t="str">
        <f>IF(E1082&lt;&gt;"",IF(F1082=E1082,"No Change",IF(F1082&gt;E1082,"Increase","Decrease")),"New")</f>
        <v>Increase</v>
      </c>
      <c r="J1082" s="58" t="s">
        <v>122</v>
      </c>
      <c r="K1082" s="59" t="str">
        <f>IF(LEN(J1082)&gt;0,IF(OR(ISLOGICAL(J1082),J1082="TRUE"),"Yes",""),"")</f>
      </c>
      <c r="L1082" s="59"/>
      <c r="M1082" s="59"/>
      <c r="N1082" s="62" t="str">
        <f>IF(LEN(M1082)&gt;0,IF(OR(ISLOGICAL(M1082),M1082="TRUE"),"Yes",""),"")</f>
      </c>
      <c r="O1082" s="59"/>
      <c r="P1082" s="62" t="str">
        <f>IF(LEN(O1082)&gt;0,IF(OR(ISLOGICAL(O1082),O1082="TRUE"),"Yes",""),"")</f>
      </c>
      <c r="Q1082" s="62" t="s">
        <v>98</v>
      </c>
      <c r="R1082" s="63"/>
    </row>
    <row r="1083" spans="1:18" s="47" customFormat="1" ht="51">
      <c r="A1083" s="63" t="s">
        <v>2240</v>
      </c>
      <c r="B1083" s="63" t="s">
        <v>96</v>
      </c>
      <c r="C1083" s="63" t="s">
        <v>2241</v>
      </c>
      <c r="D1083" s="61"/>
      <c r="E1083" s="45">
        <v>0.235</v>
      </c>
      <c r="F1083" s="45">
        <v>0.235</v>
      </c>
      <c r="G1083" s="66">
        <v>46078</v>
      </c>
      <c r="H1083" s="45" t="str">
        <f>IF(ISNUMBER(E1083),F1083-E1083,"N/A")</f>
        <v>N/A</v>
      </c>
      <c r="I1083" s="46" t="str">
        <f>IF(E1083&lt;&gt;"",IF(F1083=E1083,"No Change",IF(F1083&gt;E1083,"Increase","Decrease")),"New")</f>
        <v>Increase</v>
      </c>
      <c r="J1083" s="58"/>
      <c r="K1083" s="59" t="str">
        <f>IF(LEN(J1083)&gt;0,IF(OR(ISLOGICAL(J1083),J1083="TRUE"),"Yes",""),"")</f>
      </c>
      <c r="L1083" s="59"/>
      <c r="M1083" s="59"/>
      <c r="N1083" s="62" t="str">
        <f>IF(LEN(M1083)&gt;0,IF(OR(ISLOGICAL(M1083),M1083="TRUE"),"Yes",""),"")</f>
      </c>
      <c r="O1083" s="59"/>
      <c r="P1083" s="62" t="str">
        <f>IF(LEN(O1083)&gt;0,IF(OR(ISLOGICAL(O1083),O1083="TRUE"),"Yes",""),"")</f>
      </c>
      <c r="Q1083" s="62" t="s">
        <v>98</v>
      </c>
      <c r="R1083" s="63"/>
    </row>
    <row r="1084" spans="1:18" s="47" customFormat="1" ht="51">
      <c r="A1084" s="63" t="s">
        <v>2242</v>
      </c>
      <c r="B1084" s="63" t="s">
        <v>96</v>
      </c>
      <c r="C1084" s="63" t="s">
        <v>2243</v>
      </c>
      <c r="D1084" s="61"/>
      <c r="E1084" s="45">
        <v>0.1625</v>
      </c>
      <c r="F1084" s="45">
        <v>0.1625</v>
      </c>
      <c r="G1084" s="66">
        <v>46078</v>
      </c>
      <c r="H1084" s="45" t="str">
        <f>IF(ISNUMBER(E1084),F1084-E1084,"N/A")</f>
        <v>N/A</v>
      </c>
      <c r="I1084" s="46" t="str">
        <f>IF(E1084&lt;&gt;"",IF(F1084=E1084,"No Change",IF(F1084&gt;E1084,"Increase","Decrease")),"New")</f>
        <v>Increase</v>
      </c>
      <c r="J1084" s="58"/>
      <c r="K1084" s="59" t="str">
        <f>IF(LEN(J1084)&gt;0,IF(OR(ISLOGICAL(J1084),J1084="TRUE"),"Yes",""),"")</f>
      </c>
      <c r="L1084" s="59"/>
      <c r="M1084" s="59"/>
      <c r="N1084" s="62" t="str">
        <f>IF(LEN(M1084)&gt;0,IF(OR(ISLOGICAL(M1084),M1084="TRUE"),"Yes",""),"")</f>
      </c>
      <c r="O1084" s="59"/>
      <c r="P1084" s="62" t="str">
        <f>IF(LEN(O1084)&gt;0,IF(OR(ISLOGICAL(O1084),O1084="TRUE"),"Yes",""),"")</f>
      </c>
      <c r="Q1084" s="62" t="s">
        <v>98</v>
      </c>
      <c r="R1084" s="63"/>
    </row>
    <row r="1085" spans="1:18" s="47" customFormat="1" ht="51">
      <c r="A1085" s="63" t="s">
        <v>2244</v>
      </c>
      <c r="B1085" s="63" t="s">
        <v>96</v>
      </c>
      <c r="C1085" s="63" t="s">
        <v>2245</v>
      </c>
      <c r="D1085" s="61"/>
      <c r="E1085" s="45">
        <v>0.4015</v>
      </c>
      <c r="F1085" s="45">
        <v>0.4015</v>
      </c>
      <c r="G1085" s="66">
        <v>46092</v>
      </c>
      <c r="H1085" s="45" t="str">
        <f>IF(ISNUMBER(E1085),F1085-E1085,"N/A")</f>
        <v>N/A</v>
      </c>
      <c r="I1085" s="46" t="str">
        <f>IF(E1085&lt;&gt;"",IF(F1085=E1085,"No Change",IF(F1085&gt;E1085,"Increase","Decrease")),"New")</f>
        <v>Increase</v>
      </c>
      <c r="J1085" s="58"/>
      <c r="K1085" s="59" t="str">
        <f>IF(LEN(J1085)&gt;0,IF(OR(ISLOGICAL(J1085),J1085="TRUE"),"Yes",""),"")</f>
      </c>
      <c r="L1085" s="59"/>
      <c r="M1085" s="59"/>
      <c r="N1085" s="62" t="str">
        <f>IF(LEN(M1085)&gt;0,IF(OR(ISLOGICAL(M1085),M1085="TRUE"),"Yes",""),"")</f>
      </c>
      <c r="O1085" s="59"/>
      <c r="P1085" s="62" t="str">
        <f>IF(LEN(O1085)&gt;0,IF(OR(ISLOGICAL(O1085),O1085="TRUE"),"Yes",""),"")</f>
      </c>
      <c r="Q1085" s="62" t="s">
        <v>98</v>
      </c>
      <c r="R1085" s="63"/>
    </row>
    <row r="1086" spans="1:18" s="47" customFormat="1" ht="51">
      <c r="A1086" s="63" t="s">
        <v>2246</v>
      </c>
      <c r="B1086" s="63" t="s">
        <v>96</v>
      </c>
      <c r="C1086" s="63" t="s">
        <v>2247</v>
      </c>
      <c r="D1086" s="61"/>
      <c r="E1086" s="45">
        <v>0.265</v>
      </c>
      <c r="F1086" s="45">
        <v>0.265</v>
      </c>
      <c r="G1086" s="66">
        <v>46082</v>
      </c>
      <c r="H1086" s="45" t="str">
        <f>IF(ISNUMBER(E1086),F1086-E1086,"N/A")</f>
        <v>N/A</v>
      </c>
      <c r="I1086" s="46" t="str">
        <f>IF(E1086&lt;&gt;"",IF(F1086=E1086,"No Change",IF(F1086&gt;E1086,"Increase","Decrease")),"New")</f>
        <v>Increase</v>
      </c>
      <c r="J1086" s="58"/>
      <c r="K1086" s="59" t="str">
        <f>IF(LEN(J1086)&gt;0,IF(OR(ISLOGICAL(J1086),J1086="TRUE"),"Yes",""),"")</f>
      </c>
      <c r="L1086" s="59"/>
      <c r="M1086" s="59"/>
      <c r="N1086" s="62" t="str">
        <f>IF(LEN(M1086)&gt;0,IF(OR(ISLOGICAL(M1086),M1086="TRUE"),"Yes",""),"")</f>
      </c>
      <c r="O1086" s="59"/>
      <c r="P1086" s="62" t="str">
        <f>IF(LEN(O1086)&gt;0,IF(OR(ISLOGICAL(O1086),O1086="TRUE"),"Yes",""),"")</f>
      </c>
      <c r="Q1086" s="62" t="s">
        <v>98</v>
      </c>
      <c r="R1086" s="63"/>
    </row>
    <row r="1087" spans="1:18" s="47" customFormat="1" ht="51">
      <c r="A1087" s="63" t="s">
        <v>2248</v>
      </c>
      <c r="B1087" s="63" t="s">
        <v>96</v>
      </c>
      <c r="C1087" s="63" t="s">
        <v>2249</v>
      </c>
      <c r="D1087" s="61"/>
      <c r="E1087" s="45">
        <v>0.235</v>
      </c>
      <c r="F1087" s="45">
        <v>0.235</v>
      </c>
      <c r="G1087" s="66">
        <v>46078</v>
      </c>
      <c r="H1087" s="45" t="str">
        <f>IF(ISNUMBER(E1087),F1087-E1087,"N/A")</f>
        <v>N/A</v>
      </c>
      <c r="I1087" s="46" t="str">
        <f>IF(E1087&lt;&gt;"",IF(F1087=E1087,"No Change",IF(F1087&gt;E1087,"Increase","Decrease")),"New")</f>
        <v>Increase</v>
      </c>
      <c r="J1087" s="58"/>
      <c r="K1087" s="59" t="str">
        <f>IF(LEN(J1087)&gt;0,IF(OR(ISLOGICAL(J1087),J1087="TRUE"),"Yes",""),"")</f>
      </c>
      <c r="L1087" s="59"/>
      <c r="M1087" s="59"/>
      <c r="N1087" s="62" t="str">
        <f>IF(LEN(M1087)&gt;0,IF(OR(ISLOGICAL(M1087),M1087="TRUE"),"Yes",""),"")</f>
      </c>
      <c r="O1087" s="59"/>
      <c r="P1087" s="62" t="str">
        <f>IF(LEN(O1087)&gt;0,IF(OR(ISLOGICAL(O1087),O1087="TRUE"),"Yes",""),"")</f>
      </c>
      <c r="Q1087" s="62" t="s">
        <v>98</v>
      </c>
      <c r="R1087" s="63"/>
    </row>
    <row r="1088" spans="1:18" s="47" customFormat="1" ht="51">
      <c r="A1088" s="63" t="s">
        <v>2250</v>
      </c>
      <c r="B1088" s="63" t="s">
        <v>96</v>
      </c>
      <c r="C1088" s="63" t="s">
        <v>2251</v>
      </c>
      <c r="D1088" s="61"/>
      <c r="E1088" s="45">
        <v>0.235</v>
      </c>
      <c r="F1088" s="45">
        <v>0.235</v>
      </c>
      <c r="G1088" s="66">
        <v>46082</v>
      </c>
      <c r="H1088" s="45" t="str">
        <f>IF(ISNUMBER(E1088),F1088-E1088,"N/A")</f>
        <v>N/A</v>
      </c>
      <c r="I1088" s="46" t="str">
        <f>IF(E1088&lt;&gt;"",IF(F1088=E1088,"No Change",IF(F1088&gt;E1088,"Increase","Decrease")),"New")</f>
        <v>Increase</v>
      </c>
      <c r="J1088" s="58"/>
      <c r="K1088" s="59" t="str">
        <f>IF(LEN(J1088)&gt;0,IF(OR(ISLOGICAL(J1088),J1088="TRUE"),"Yes",""),"")</f>
      </c>
      <c r="L1088" s="59"/>
      <c r="M1088" s="59"/>
      <c r="N1088" s="62" t="str">
        <f>IF(LEN(M1088)&gt;0,IF(OR(ISLOGICAL(M1088),M1088="TRUE"),"Yes",""),"")</f>
      </c>
      <c r="O1088" s="59"/>
      <c r="P1088" s="62" t="str">
        <f>IF(LEN(O1088)&gt;0,IF(OR(ISLOGICAL(O1088),O1088="TRUE"),"Yes",""),"")</f>
      </c>
      <c r="Q1088" s="62" t="s">
        <v>98</v>
      </c>
      <c r="R1088" s="63"/>
    </row>
    <row r="1089" spans="1:18" s="47" customFormat="1" ht="51">
      <c r="A1089" s="63" t="s">
        <v>2252</v>
      </c>
      <c r="B1089" s="63" t="s">
        <v>96</v>
      </c>
      <c r="C1089" s="63" t="s">
        <v>2253</v>
      </c>
      <c r="D1089" s="61"/>
      <c r="E1089" s="45">
        <v>0.235</v>
      </c>
      <c r="F1089" s="45">
        <v>0.235</v>
      </c>
      <c r="G1089" s="66">
        <v>46082</v>
      </c>
      <c r="H1089" s="45" t="str">
        <f>IF(ISNUMBER(E1089),F1089-E1089,"N/A")</f>
        <v>N/A</v>
      </c>
      <c r="I1089" s="46" t="str">
        <f>IF(E1089&lt;&gt;"",IF(F1089=E1089,"No Change",IF(F1089&gt;E1089,"Increase","Decrease")),"New")</f>
        <v>Increase</v>
      </c>
      <c r="J1089" s="58"/>
      <c r="K1089" s="59" t="str">
        <f>IF(LEN(J1089)&gt;0,IF(OR(ISLOGICAL(J1089),J1089="TRUE"),"Yes",""),"")</f>
      </c>
      <c r="L1089" s="59"/>
      <c r="M1089" s="59"/>
      <c r="N1089" s="62" t="str">
        <f>IF(LEN(M1089)&gt;0,IF(OR(ISLOGICAL(M1089),M1089="TRUE"),"Yes",""),"")</f>
      </c>
      <c r="O1089" s="59"/>
      <c r="P1089" s="62" t="str">
        <f>IF(LEN(O1089)&gt;0,IF(OR(ISLOGICAL(O1089),O1089="TRUE"),"Yes",""),"")</f>
      </c>
      <c r="Q1089" s="62" t="s">
        <v>98</v>
      </c>
      <c r="R1089" s="63"/>
    </row>
    <row r="1090" spans="1:18" s="47" customFormat="1" ht="51">
      <c r="A1090" s="63" t="s">
        <v>2254</v>
      </c>
      <c r="B1090" s="63" t="s">
        <v>96</v>
      </c>
      <c r="C1090" s="63" t="s">
        <v>2255</v>
      </c>
      <c r="D1090" s="61"/>
      <c r="E1090" s="45">
        <v>0.262</v>
      </c>
      <c r="F1090" s="45">
        <v>0.262</v>
      </c>
      <c r="G1090" s="66">
        <v>46078</v>
      </c>
      <c r="H1090" s="45" t="str">
        <f>IF(ISNUMBER(E1090),F1090-E1090,"N/A")</f>
        <v>N/A</v>
      </c>
      <c r="I1090" s="46" t="str">
        <f>IF(E1090&lt;&gt;"",IF(F1090=E1090,"No Change",IF(F1090&gt;E1090,"Increase","Decrease")),"New")</f>
        <v>Increase</v>
      </c>
      <c r="J1090" s="58"/>
      <c r="K1090" s="59" t="str">
        <f>IF(LEN(J1090)&gt;0,IF(OR(ISLOGICAL(J1090),J1090="TRUE"),"Yes",""),"")</f>
      </c>
      <c r="L1090" s="59"/>
      <c r="M1090" s="59"/>
      <c r="N1090" s="62" t="str">
        <f>IF(LEN(M1090)&gt;0,IF(OR(ISLOGICAL(M1090),M1090="TRUE"),"Yes",""),"")</f>
      </c>
      <c r="O1090" s="59"/>
      <c r="P1090" s="62" t="str">
        <f>IF(LEN(O1090)&gt;0,IF(OR(ISLOGICAL(O1090),O1090="TRUE"),"Yes",""),"")</f>
      </c>
      <c r="Q1090" s="62" t="s">
        <v>109</v>
      </c>
      <c r="R1090" s="63"/>
    </row>
    <row r="1091" spans="1:18" s="47" customFormat="1" ht="51">
      <c r="A1091" s="63" t="s">
        <v>2256</v>
      </c>
      <c r="B1091" s="63" t="s">
        <v>96</v>
      </c>
      <c r="C1091" s="63" t="s">
        <v>2257</v>
      </c>
      <c r="D1091" s="61"/>
      <c r="E1091" s="45">
        <v>0.274</v>
      </c>
      <c r="F1091" s="45">
        <v>0.274</v>
      </c>
      <c r="G1091" s="66">
        <v>46143</v>
      </c>
      <c r="H1091" s="45" t="str">
        <f>IF(ISNUMBER(E1091),F1091-E1091,"N/A")</f>
        <v>N/A</v>
      </c>
      <c r="I1091" s="46" t="str">
        <f>IF(E1091&lt;&gt;"",IF(F1091=E1091,"No Change",IF(F1091&gt;E1091,"Increase","Decrease")),"New")</f>
        <v>Increase</v>
      </c>
      <c r="J1091" s="58" t="s">
        <v>122</v>
      </c>
      <c r="K1091" s="59" t="str">
        <f>IF(LEN(J1091)&gt;0,IF(OR(ISLOGICAL(J1091),J1091="TRUE"),"Yes",""),"")</f>
      </c>
      <c r="L1091" s="59"/>
      <c r="M1091" s="59"/>
      <c r="N1091" s="62" t="str">
        <f>IF(LEN(M1091)&gt;0,IF(OR(ISLOGICAL(M1091),M1091="TRUE"),"Yes",""),"")</f>
      </c>
      <c r="O1091" s="59"/>
      <c r="P1091" s="62" t="str">
        <f>IF(LEN(O1091)&gt;0,IF(OR(ISLOGICAL(O1091),O1091="TRUE"),"Yes",""),"")</f>
      </c>
      <c r="Q1091" s="62" t="s">
        <v>109</v>
      </c>
      <c r="R1091" s="63"/>
    </row>
    <row r="1092" spans="1:18" s="47" customFormat="1" ht="51">
      <c r="A1092" s="63" t="s">
        <v>2258</v>
      </c>
      <c r="B1092" s="63" t="s">
        <v>96</v>
      </c>
      <c r="C1092" s="63" t="s">
        <v>2259</v>
      </c>
      <c r="D1092" s="61"/>
      <c r="E1092" s="45">
        <v>0.262</v>
      </c>
      <c r="F1092" s="45">
        <v>0.262</v>
      </c>
      <c r="G1092" s="66">
        <v>46078</v>
      </c>
      <c r="H1092" s="45" t="str">
        <f>IF(ISNUMBER(E1092),F1092-E1092,"N/A")</f>
        <v>N/A</v>
      </c>
      <c r="I1092" s="46" t="str">
        <f>IF(E1092&lt;&gt;"",IF(F1092=E1092,"No Change",IF(F1092&gt;E1092,"Increase","Decrease")),"New")</f>
        <v>Increase</v>
      </c>
      <c r="J1092" s="58"/>
      <c r="K1092" s="59" t="str">
        <f>IF(LEN(J1092)&gt;0,IF(OR(ISLOGICAL(J1092),J1092="TRUE"),"Yes",""),"")</f>
      </c>
      <c r="L1092" s="59"/>
      <c r="M1092" s="59"/>
      <c r="N1092" s="62" t="str">
        <f>IF(LEN(M1092)&gt;0,IF(OR(ISLOGICAL(M1092),M1092="TRUE"),"Yes",""),"")</f>
      </c>
      <c r="O1092" s="59"/>
      <c r="P1092" s="62" t="str">
        <f>IF(LEN(O1092)&gt;0,IF(OR(ISLOGICAL(O1092),O1092="TRUE"),"Yes",""),"")</f>
      </c>
      <c r="Q1092" s="62" t="s">
        <v>109</v>
      </c>
      <c r="R1092" s="63"/>
    </row>
    <row r="1093" spans="1:18" s="47" customFormat="1" ht="51">
      <c r="A1093" s="63" t="s">
        <v>2260</v>
      </c>
      <c r="B1093" s="63" t="s">
        <v>96</v>
      </c>
      <c r="C1093" s="63" t="s">
        <v>2261</v>
      </c>
      <c r="D1093" s="61"/>
      <c r="E1093" s="45">
        <v>0.262</v>
      </c>
      <c r="F1093" s="45">
        <v>0.262</v>
      </c>
      <c r="G1093" s="66">
        <v>46082</v>
      </c>
      <c r="H1093" s="45" t="str">
        <f>IF(ISNUMBER(E1093),F1093-E1093,"N/A")</f>
        <v>N/A</v>
      </c>
      <c r="I1093" s="46" t="str">
        <f>IF(E1093&lt;&gt;"",IF(F1093=E1093,"No Change",IF(F1093&gt;E1093,"Increase","Decrease")),"New")</f>
        <v>Increase</v>
      </c>
      <c r="J1093" s="58"/>
      <c r="K1093" s="59" t="str">
        <f>IF(LEN(J1093)&gt;0,IF(OR(ISLOGICAL(J1093),J1093="TRUE"),"Yes",""),"")</f>
      </c>
      <c r="L1093" s="59"/>
      <c r="M1093" s="59"/>
      <c r="N1093" s="62" t="str">
        <f>IF(LEN(M1093)&gt;0,IF(OR(ISLOGICAL(M1093),M1093="TRUE"),"Yes",""),"")</f>
      </c>
      <c r="O1093" s="59"/>
      <c r="P1093" s="62" t="str">
        <f>IF(LEN(O1093)&gt;0,IF(OR(ISLOGICAL(O1093),O1093="TRUE"),"Yes",""),"")</f>
      </c>
      <c r="Q1093" s="62" t="s">
        <v>109</v>
      </c>
      <c r="R1093" s="63"/>
    </row>
    <row r="1094" spans="1:18" s="47" customFormat="1" ht="51">
      <c r="A1094" s="63" t="s">
        <v>2262</v>
      </c>
      <c r="B1094" s="63" t="s">
        <v>96</v>
      </c>
      <c r="C1094" s="63" t="s">
        <v>2263</v>
      </c>
      <c r="D1094" s="61"/>
      <c r="E1094" s="45">
        <v>0.245</v>
      </c>
      <c r="F1094" s="45">
        <v>0.245</v>
      </c>
      <c r="G1094" s="66">
        <v>46106</v>
      </c>
      <c r="H1094" s="45" t="str">
        <f>IF(ISNUMBER(E1094),F1094-E1094,"N/A")</f>
        <v>N/A</v>
      </c>
      <c r="I1094" s="46" t="str">
        <f>IF(E1094&lt;&gt;"",IF(F1094=E1094,"No Change",IF(F1094&gt;E1094,"Increase","Decrease")),"New")</f>
        <v>Increase</v>
      </c>
      <c r="J1094" s="58"/>
      <c r="K1094" s="59" t="str">
        <f>IF(LEN(J1094)&gt;0,IF(OR(ISLOGICAL(J1094),J1094="TRUE"),"Yes",""),"")</f>
      </c>
      <c r="L1094" s="59"/>
      <c r="M1094" s="59"/>
      <c r="N1094" s="62" t="str">
        <f>IF(LEN(M1094)&gt;0,IF(OR(ISLOGICAL(M1094),M1094="TRUE"),"Yes",""),"")</f>
      </c>
      <c r="O1094" s="59"/>
      <c r="P1094" s="62" t="str">
        <f>IF(LEN(O1094)&gt;0,IF(OR(ISLOGICAL(O1094),O1094="TRUE"),"Yes",""),"")</f>
      </c>
      <c r="Q1094" s="62" t="s">
        <v>104</v>
      </c>
      <c r="R1094" s="63"/>
    </row>
    <row r="1095" spans="1:18" s="47" customFormat="1" ht="51">
      <c r="A1095" s="63" t="s">
        <v>2264</v>
      </c>
      <c r="B1095" s="63" t="s">
        <v>96</v>
      </c>
      <c r="C1095" s="63" t="s">
        <v>2265</v>
      </c>
      <c r="D1095" s="61"/>
      <c r="E1095" s="45">
        <v>0.246</v>
      </c>
      <c r="F1095" s="45">
        <v>0.246</v>
      </c>
      <c r="G1095" s="66">
        <v>46141</v>
      </c>
      <c r="H1095" s="45" t="str">
        <f>IF(ISNUMBER(E1095),F1095-E1095,"N/A")</f>
        <v>N/A</v>
      </c>
      <c r="I1095" s="46" t="str">
        <f>IF(E1095&lt;&gt;"",IF(F1095=E1095,"No Change",IF(F1095&gt;E1095,"Increase","Decrease")),"New")</f>
        <v>Increase</v>
      </c>
      <c r="J1095" s="58"/>
      <c r="K1095" s="59" t="str">
        <f>IF(LEN(J1095)&gt;0,IF(OR(ISLOGICAL(J1095),J1095="TRUE"),"Yes",""),"")</f>
      </c>
      <c r="L1095" s="59"/>
      <c r="M1095" s="59"/>
      <c r="N1095" s="62" t="str">
        <f>IF(LEN(M1095)&gt;0,IF(OR(ISLOGICAL(M1095),M1095="TRUE"),"Yes",""),"")</f>
      </c>
      <c r="O1095" s="59"/>
      <c r="P1095" s="62" t="str">
        <f>IF(LEN(O1095)&gt;0,IF(OR(ISLOGICAL(O1095),O1095="TRUE"),"Yes",""),"")</f>
      </c>
      <c r="Q1095" s="62" t="s">
        <v>109</v>
      </c>
      <c r="R1095" s="63"/>
    </row>
    <row r="1096" spans="1:18" s="47" customFormat="1" ht="51">
      <c r="A1096" s="63" t="s">
        <v>2266</v>
      </c>
      <c r="B1096" s="63" t="s">
        <v>96</v>
      </c>
      <c r="C1096" s="63" t="s">
        <v>2267</v>
      </c>
      <c r="D1096" s="61"/>
      <c r="E1096" s="45">
        <v>0.246</v>
      </c>
      <c r="F1096" s="45">
        <v>0.246</v>
      </c>
      <c r="G1096" s="66">
        <v>46143</v>
      </c>
      <c r="H1096" s="45" t="str">
        <f>IF(ISNUMBER(E1096),F1096-E1096,"N/A")</f>
        <v>N/A</v>
      </c>
      <c r="I1096" s="46" t="str">
        <f>IF(E1096&lt;&gt;"",IF(F1096=E1096,"No Change",IF(F1096&gt;E1096,"Increase","Decrease")),"New")</f>
        <v>Increase</v>
      </c>
      <c r="J1096" s="58"/>
      <c r="K1096" s="59" t="str">
        <f>IF(LEN(J1096)&gt;0,IF(OR(ISLOGICAL(J1096),J1096="TRUE"),"Yes",""),"")</f>
      </c>
      <c r="L1096" s="59"/>
      <c r="M1096" s="59"/>
      <c r="N1096" s="62" t="str">
        <f>IF(LEN(M1096)&gt;0,IF(OR(ISLOGICAL(M1096),M1096="TRUE"),"Yes",""),"")</f>
      </c>
      <c r="O1096" s="59"/>
      <c r="P1096" s="62" t="str">
        <f>IF(LEN(O1096)&gt;0,IF(OR(ISLOGICAL(O1096),O1096="TRUE"),"Yes",""),"")</f>
      </c>
      <c r="Q1096" s="62" t="s">
        <v>98</v>
      </c>
      <c r="R1096" s="63"/>
    </row>
    <row r="1097" spans="1:18" s="47" customFormat="1" ht="51">
      <c r="A1097" s="63" t="s">
        <v>2268</v>
      </c>
      <c r="B1097" s="63" t="s">
        <v>96</v>
      </c>
      <c r="C1097" s="63" t="s">
        <v>2269</v>
      </c>
      <c r="D1097" s="61"/>
      <c r="E1097" s="45">
        <v>0.246</v>
      </c>
      <c r="F1097" s="45">
        <v>0.246</v>
      </c>
      <c r="G1097" s="66">
        <v>45616</v>
      </c>
      <c r="H1097" s="45" t="str">
        <f>IF(ISNUMBER(E1097),F1097-E1097,"N/A")</f>
        <v>N/A</v>
      </c>
      <c r="I1097" s="46" t="str">
        <f>IF(E1097&lt;&gt;"",IF(F1097=E1097,"No Change",IF(F1097&gt;E1097,"Increase","Decrease")),"New")</f>
        <v>Increase</v>
      </c>
      <c r="J1097" s="58" t="s">
        <v>122</v>
      </c>
      <c r="K1097" s="59" t="str">
        <f>IF(LEN(J1097)&gt;0,IF(OR(ISLOGICAL(J1097),J1097="TRUE"),"Yes",""),"")</f>
      </c>
      <c r="L1097" s="59"/>
      <c r="M1097" s="59"/>
      <c r="N1097" s="62" t="str">
        <f>IF(LEN(M1097)&gt;0,IF(OR(ISLOGICAL(M1097),M1097="TRUE"),"Yes",""),"")</f>
      </c>
      <c r="O1097" s="59"/>
      <c r="P1097" s="62" t="str">
        <f>IF(LEN(O1097)&gt;0,IF(OR(ISLOGICAL(O1097),O1097="TRUE"),"Yes",""),"")</f>
      </c>
      <c r="Q1097" s="62" t="s">
        <v>109</v>
      </c>
      <c r="R1097" s="63"/>
    </row>
    <row r="1098" spans="1:18" s="47" customFormat="1" ht="51">
      <c r="A1098" s="63" t="s">
        <v>2270</v>
      </c>
      <c r="B1098" s="63" t="s">
        <v>96</v>
      </c>
      <c r="C1098" s="63" t="s">
        <v>2271</v>
      </c>
      <c r="D1098" s="61"/>
      <c r="E1098" s="45">
        <v>0.5471</v>
      </c>
      <c r="F1098" s="45">
        <v>0.5471</v>
      </c>
      <c r="G1098" s="66">
        <v>46082</v>
      </c>
      <c r="H1098" s="45" t="str">
        <f>IF(ISNUMBER(E1098),F1098-E1098,"N/A")</f>
        <v>N/A</v>
      </c>
      <c r="I1098" s="46" t="str">
        <f>IF(E1098&lt;&gt;"",IF(F1098=E1098,"No Change",IF(F1098&gt;E1098,"Increase","Decrease")),"New")</f>
        <v>Increase</v>
      </c>
      <c r="J1098" s="58"/>
      <c r="K1098" s="59" t="str">
        <f>IF(LEN(J1098)&gt;0,IF(OR(ISLOGICAL(J1098),J1098="TRUE"),"Yes",""),"")</f>
      </c>
      <c r="L1098" s="59"/>
      <c r="M1098" s="59"/>
      <c r="N1098" s="62" t="str">
        <f>IF(LEN(M1098)&gt;0,IF(OR(ISLOGICAL(M1098),M1098="TRUE"),"Yes",""),"")</f>
      </c>
      <c r="O1098" s="59"/>
      <c r="P1098" s="62" t="str">
        <f>IF(LEN(O1098)&gt;0,IF(OR(ISLOGICAL(O1098),O1098="TRUE"),"Yes",""),"")</f>
      </c>
      <c r="Q1098" s="62" t="s">
        <v>109</v>
      </c>
      <c r="R1098" s="63"/>
    </row>
    <row r="1099" spans="1:18" s="47" customFormat="1" ht="51">
      <c r="A1099" s="63" t="s">
        <v>2272</v>
      </c>
      <c r="B1099" s="63" t="s">
        <v>96</v>
      </c>
      <c r="C1099" s="63" t="s">
        <v>2273</v>
      </c>
      <c r="D1099" s="61"/>
      <c r="E1099" s="45">
        <v>0.8771</v>
      </c>
      <c r="F1099" s="45">
        <v>0.8771</v>
      </c>
      <c r="G1099" s="66">
        <v>46082</v>
      </c>
      <c r="H1099" s="45" t="str">
        <f>IF(ISNUMBER(E1099),F1099-E1099,"N/A")</f>
        <v>N/A</v>
      </c>
      <c r="I1099" s="46" t="str">
        <f>IF(E1099&lt;&gt;"",IF(F1099=E1099,"No Change",IF(F1099&gt;E1099,"Increase","Decrease")),"New")</f>
        <v>Increase</v>
      </c>
      <c r="J1099" s="58"/>
      <c r="K1099" s="59" t="str">
        <f>IF(LEN(J1099)&gt;0,IF(OR(ISLOGICAL(J1099),J1099="TRUE"),"Yes",""),"")</f>
      </c>
      <c r="L1099" s="59"/>
      <c r="M1099" s="59"/>
      <c r="N1099" s="62" t="str">
        <f>IF(LEN(M1099)&gt;0,IF(OR(ISLOGICAL(M1099),M1099="TRUE"),"Yes",""),"")</f>
      </c>
      <c r="O1099" s="59"/>
      <c r="P1099" s="62" t="str">
        <f>IF(LEN(O1099)&gt;0,IF(OR(ISLOGICAL(O1099),O1099="TRUE"),"Yes",""),"")</f>
      </c>
      <c r="Q1099" s="62" t="s">
        <v>109</v>
      </c>
      <c r="R1099" s="63"/>
    </row>
    <row r="1100" spans="1:18" s="47" customFormat="1" ht="51">
      <c r="A1100" s="63" t="s">
        <v>2274</v>
      </c>
      <c r="B1100" s="63" t="s">
        <v>96</v>
      </c>
      <c r="C1100" s="63" t="s">
        <v>2275</v>
      </c>
      <c r="D1100" s="61"/>
      <c r="E1100" s="45">
        <v>1.0521</v>
      </c>
      <c r="F1100" s="45">
        <v>1.0521</v>
      </c>
      <c r="G1100" s="66">
        <v>46082</v>
      </c>
      <c r="H1100" s="45" t="str">
        <f>IF(ISNUMBER(E1100),F1100-E1100,"N/A")</f>
        <v>N/A</v>
      </c>
      <c r="I1100" s="46" t="str">
        <f>IF(E1100&lt;&gt;"",IF(F1100=E1100,"No Change",IF(F1100&gt;E1100,"Increase","Decrease")),"New")</f>
        <v>Increase</v>
      </c>
      <c r="J1100" s="58"/>
      <c r="K1100" s="59" t="str">
        <f>IF(LEN(J1100)&gt;0,IF(OR(ISLOGICAL(J1100),J1100="TRUE"),"Yes",""),"")</f>
      </c>
      <c r="L1100" s="59"/>
      <c r="M1100" s="59"/>
      <c r="N1100" s="62" t="str">
        <f>IF(LEN(M1100)&gt;0,IF(OR(ISLOGICAL(M1100),M1100="TRUE"),"Yes",""),"")</f>
      </c>
      <c r="O1100" s="59"/>
      <c r="P1100" s="62" t="str">
        <f>IF(LEN(O1100)&gt;0,IF(OR(ISLOGICAL(O1100),O1100="TRUE"),"Yes",""),"")</f>
      </c>
      <c r="Q1100" s="62" t="s">
        <v>109</v>
      </c>
      <c r="R1100" s="63"/>
    </row>
    <row r="1101" spans="1:18" s="47" customFormat="1" ht="51">
      <c r="A1101" s="63" t="s">
        <v>2276</v>
      </c>
      <c r="B1101" s="63" t="s">
        <v>96</v>
      </c>
      <c r="C1101" s="63" t="s">
        <v>2277</v>
      </c>
      <c r="D1101" s="61"/>
      <c r="E1101" s="45">
        <v>0.1775</v>
      </c>
      <c r="F1101" s="45">
        <v>0.1775</v>
      </c>
      <c r="G1101" s="66">
        <v>46092</v>
      </c>
      <c r="H1101" s="45" t="str">
        <f>IF(ISNUMBER(E1101),F1101-E1101,"N/A")</f>
        <v>N/A</v>
      </c>
      <c r="I1101" s="46" t="str">
        <f>IF(E1101&lt;&gt;"",IF(F1101=E1101,"No Change",IF(F1101&gt;E1101,"Increase","Decrease")),"New")</f>
        <v>Increase</v>
      </c>
      <c r="J1101" s="58"/>
      <c r="K1101" s="59" t="str">
        <f>IF(LEN(J1101)&gt;0,IF(OR(ISLOGICAL(J1101),J1101="TRUE"),"Yes",""),"")</f>
      </c>
      <c r="L1101" s="59"/>
      <c r="M1101" s="59"/>
      <c r="N1101" s="62" t="str">
        <f>IF(LEN(M1101)&gt;0,IF(OR(ISLOGICAL(M1101),M1101="TRUE"),"Yes",""),"")</f>
      </c>
      <c r="O1101" s="59"/>
      <c r="P1101" s="62" t="str">
        <f>IF(LEN(O1101)&gt;0,IF(OR(ISLOGICAL(O1101),O1101="TRUE"),"Yes",""),"")</f>
      </c>
      <c r="Q1101" s="62" t="s">
        <v>98</v>
      </c>
      <c r="R1101" s="63"/>
    </row>
    <row r="1102" spans="1:18" s="47" customFormat="1" ht="51">
      <c r="A1102" s="63" t="s">
        <v>2278</v>
      </c>
      <c r="B1102" s="63" t="s">
        <v>96</v>
      </c>
      <c r="C1102" s="63" t="s">
        <v>2279</v>
      </c>
      <c r="D1102" s="61"/>
      <c r="E1102" s="45">
        <v>0.1775</v>
      </c>
      <c r="F1102" s="45">
        <v>0.1775</v>
      </c>
      <c r="G1102" s="66">
        <v>46082</v>
      </c>
      <c r="H1102" s="45" t="str">
        <f>IF(ISNUMBER(E1102),F1102-E1102,"N/A")</f>
        <v>N/A</v>
      </c>
      <c r="I1102" s="46" t="str">
        <f>IF(E1102&lt;&gt;"",IF(F1102=E1102,"No Change",IF(F1102&gt;E1102,"Increase","Decrease")),"New")</f>
        <v>Increase</v>
      </c>
      <c r="J1102" s="58"/>
      <c r="K1102" s="59" t="str">
        <f>IF(LEN(J1102)&gt;0,IF(OR(ISLOGICAL(J1102),J1102="TRUE"),"Yes",""),"")</f>
      </c>
      <c r="L1102" s="59"/>
      <c r="M1102" s="59"/>
      <c r="N1102" s="62" t="str">
        <f>IF(LEN(M1102)&gt;0,IF(OR(ISLOGICAL(M1102),M1102="TRUE"),"Yes",""),"")</f>
      </c>
      <c r="O1102" s="59"/>
      <c r="P1102" s="62" t="str">
        <f>IF(LEN(O1102)&gt;0,IF(OR(ISLOGICAL(O1102),O1102="TRUE"),"Yes",""),"")</f>
      </c>
      <c r="Q1102" s="62" t="s">
        <v>98</v>
      </c>
      <c r="R1102" s="63"/>
    </row>
    <row r="1103" spans="1:18" s="47" customFormat="1" ht="51">
      <c r="A1103" s="63" t="s">
        <v>2280</v>
      </c>
      <c r="B1103" s="63" t="s">
        <v>96</v>
      </c>
      <c r="C1103" s="63" t="s">
        <v>2281</v>
      </c>
      <c r="D1103" s="61"/>
      <c r="E1103" s="45">
        <v>0.1775</v>
      </c>
      <c r="F1103" s="45">
        <v>0.1775</v>
      </c>
      <c r="G1103" s="66">
        <v>46082</v>
      </c>
      <c r="H1103" s="45" t="str">
        <f>IF(ISNUMBER(E1103),F1103-E1103,"N/A")</f>
        <v>N/A</v>
      </c>
      <c r="I1103" s="46" t="str">
        <f>IF(E1103&lt;&gt;"",IF(F1103=E1103,"No Change",IF(F1103&gt;E1103,"Increase","Decrease")),"New")</f>
        <v>Increase</v>
      </c>
      <c r="J1103" s="58"/>
      <c r="K1103" s="59" t="str">
        <f>IF(LEN(J1103)&gt;0,IF(OR(ISLOGICAL(J1103),J1103="TRUE"),"Yes",""),"")</f>
      </c>
      <c r="L1103" s="59"/>
      <c r="M1103" s="59"/>
      <c r="N1103" s="62" t="str">
        <f>IF(LEN(M1103)&gt;0,IF(OR(ISLOGICAL(M1103),M1103="TRUE"),"Yes",""),"")</f>
      </c>
      <c r="O1103" s="59"/>
      <c r="P1103" s="62" t="str">
        <f>IF(LEN(O1103)&gt;0,IF(OR(ISLOGICAL(O1103),O1103="TRUE"),"Yes",""),"")</f>
      </c>
      <c r="Q1103" s="62" t="s">
        <v>98</v>
      </c>
      <c r="R1103" s="63"/>
    </row>
    <row r="1104" spans="1:18" s="47" customFormat="1" ht="51">
      <c r="A1104" s="63" t="s">
        <v>2282</v>
      </c>
      <c r="B1104" s="63" t="s">
        <v>96</v>
      </c>
      <c r="C1104" s="63" t="s">
        <v>2283</v>
      </c>
      <c r="D1104" s="61"/>
      <c r="E1104" s="45">
        <v>0.002</v>
      </c>
      <c r="F1104" s="45">
        <v>0.002</v>
      </c>
      <c r="G1104" s="66">
        <v>46074</v>
      </c>
      <c r="H1104" s="45" t="str">
        <f>IF(ISNUMBER(E1104),F1104-E1104,"N/A")</f>
        <v>N/A</v>
      </c>
      <c r="I1104" s="46" t="str">
        <f>IF(E1104&lt;&gt;"",IF(F1104=E1104,"No Change",IF(F1104&gt;E1104,"Increase","Decrease")),"New")</f>
        <v>Increase</v>
      </c>
      <c r="J1104" s="58"/>
      <c r="K1104" s="59" t="str">
        <f>IF(LEN(J1104)&gt;0,IF(OR(ISLOGICAL(J1104),J1104="TRUE"),"Yes",""),"")</f>
      </c>
      <c r="L1104" s="59"/>
      <c r="M1104" s="59"/>
      <c r="N1104" s="62" t="str">
        <f>IF(LEN(M1104)&gt;0,IF(OR(ISLOGICAL(M1104),M1104="TRUE"),"Yes",""),"")</f>
      </c>
      <c r="O1104" s="59"/>
      <c r="P1104" s="62" t="str">
        <f>IF(LEN(O1104)&gt;0,IF(OR(ISLOGICAL(O1104),O1104="TRUE"),"Yes",""),"")</f>
      </c>
      <c r="Q1104" s="62" t="s">
        <v>98</v>
      </c>
      <c r="R1104" s="63"/>
    </row>
    <row r="1105" spans="1:18" s="47" customFormat="1" ht="51">
      <c r="A1105" s="63" t="s">
        <v>2284</v>
      </c>
      <c r="B1105" s="63" t="s">
        <v>96</v>
      </c>
      <c r="C1105" s="63" t="s">
        <v>2285</v>
      </c>
      <c r="D1105" s="61"/>
      <c r="E1105" s="45">
        <v>0.002</v>
      </c>
      <c r="F1105" s="45">
        <v>0.002</v>
      </c>
      <c r="G1105" s="66">
        <v>46082</v>
      </c>
      <c r="H1105" s="45" t="str">
        <f>IF(ISNUMBER(E1105),F1105-E1105,"N/A")</f>
        <v>N/A</v>
      </c>
      <c r="I1105" s="46" t="str">
        <f>IF(E1105&lt;&gt;"",IF(F1105=E1105,"No Change",IF(F1105&gt;E1105,"Increase","Decrease")),"New")</f>
        <v>Increase</v>
      </c>
      <c r="J1105" s="58"/>
      <c r="K1105" s="59" t="str">
        <f>IF(LEN(J1105)&gt;0,IF(OR(ISLOGICAL(J1105),J1105="TRUE"),"Yes",""),"")</f>
      </c>
      <c r="L1105" s="59"/>
      <c r="M1105" s="59"/>
      <c r="N1105" s="62" t="str">
        <f>IF(LEN(M1105)&gt;0,IF(OR(ISLOGICAL(M1105),M1105="TRUE"),"Yes",""),"")</f>
      </c>
      <c r="O1105" s="59"/>
      <c r="P1105" s="62" t="str">
        <f>IF(LEN(O1105)&gt;0,IF(OR(ISLOGICAL(O1105),O1105="TRUE"),"Yes",""),"")</f>
      </c>
      <c r="Q1105" s="62" t="s">
        <v>98</v>
      </c>
      <c r="R1105" s="63"/>
    </row>
    <row r="1106" spans="1:18" s="47" customFormat="1" ht="51">
      <c r="A1106" s="63" t="s">
        <v>2286</v>
      </c>
      <c r="B1106" s="63" t="s">
        <v>96</v>
      </c>
      <c r="C1106" s="63" t="s">
        <v>2287</v>
      </c>
      <c r="D1106" s="61"/>
      <c r="E1106" s="45">
        <v>0.28</v>
      </c>
      <c r="F1106" s="45">
        <v>0.28</v>
      </c>
      <c r="G1106" s="66">
        <v>46143</v>
      </c>
      <c r="H1106" s="45" t="str">
        <f>IF(ISNUMBER(E1106),F1106-E1106,"N/A")</f>
        <v>N/A</v>
      </c>
      <c r="I1106" s="46" t="str">
        <f>IF(E1106&lt;&gt;"",IF(F1106=E1106,"No Change",IF(F1106&gt;E1106,"Increase","Decrease")),"New")</f>
        <v>Increase</v>
      </c>
      <c r="J1106" s="58" t="s">
        <v>122</v>
      </c>
      <c r="K1106" s="59" t="str">
        <f>IF(LEN(J1106)&gt;0,IF(OR(ISLOGICAL(J1106),J1106="TRUE"),"Yes",""),"")</f>
      </c>
      <c r="L1106" s="59"/>
      <c r="M1106" s="59"/>
      <c r="N1106" s="62" t="str">
        <f>IF(LEN(M1106)&gt;0,IF(OR(ISLOGICAL(M1106),M1106="TRUE"),"Yes",""),"")</f>
      </c>
      <c r="O1106" s="59"/>
      <c r="P1106" s="62" t="str">
        <f>IF(LEN(O1106)&gt;0,IF(OR(ISLOGICAL(O1106),O1106="TRUE"),"Yes",""),"")</f>
      </c>
      <c r="Q1106" s="62" t="s">
        <v>98</v>
      </c>
      <c r="R1106" s="63"/>
    </row>
    <row r="1107" spans="1:18" s="47" customFormat="1" ht="51">
      <c r="A1107" s="63" t="s">
        <v>2288</v>
      </c>
      <c r="B1107" s="63" t="s">
        <v>96</v>
      </c>
      <c r="C1107" s="63" t="s">
        <v>2289</v>
      </c>
      <c r="D1107" s="61"/>
      <c r="E1107" s="45">
        <v>0.28</v>
      </c>
      <c r="F1107" s="45">
        <v>0.28</v>
      </c>
      <c r="G1107" s="66">
        <v>46143</v>
      </c>
      <c r="H1107" s="45" t="str">
        <f>IF(ISNUMBER(E1107),F1107-E1107,"N/A")</f>
        <v>N/A</v>
      </c>
      <c r="I1107" s="46" t="str">
        <f>IF(E1107&lt;&gt;"",IF(F1107=E1107,"No Change",IF(F1107&gt;E1107,"Increase","Decrease")),"New")</f>
        <v>Increase</v>
      </c>
      <c r="J1107" s="58" t="s">
        <v>122</v>
      </c>
      <c r="K1107" s="59" t="str">
        <f>IF(LEN(J1107)&gt;0,IF(OR(ISLOGICAL(J1107),J1107="TRUE"),"Yes",""),"")</f>
      </c>
      <c r="L1107" s="59"/>
      <c r="M1107" s="59"/>
      <c r="N1107" s="62" t="str">
        <f>IF(LEN(M1107)&gt;0,IF(OR(ISLOGICAL(M1107),M1107="TRUE"),"Yes",""),"")</f>
      </c>
      <c r="O1107" s="59"/>
      <c r="P1107" s="62" t="str">
        <f>IF(LEN(O1107)&gt;0,IF(OR(ISLOGICAL(O1107),O1107="TRUE"),"Yes",""),"")</f>
      </c>
      <c r="Q1107" s="62" t="s">
        <v>98</v>
      </c>
      <c r="R1107" s="63"/>
    </row>
    <row r="1108" spans="1:18" s="47" customFormat="1" ht="51">
      <c r="A1108" s="63" t="s">
        <v>2290</v>
      </c>
      <c r="B1108" s="63" t="s">
        <v>96</v>
      </c>
      <c r="C1108" s="63" t="s">
        <v>2291</v>
      </c>
      <c r="D1108" s="61"/>
      <c r="E1108" s="45">
        <v>0.28</v>
      </c>
      <c r="F1108" s="45">
        <v>0.28</v>
      </c>
      <c r="G1108" s="66">
        <v>46143</v>
      </c>
      <c r="H1108" s="45" t="str">
        <f>IF(ISNUMBER(E1108),F1108-E1108,"N/A")</f>
        <v>N/A</v>
      </c>
      <c r="I1108" s="46" t="str">
        <f>IF(E1108&lt;&gt;"",IF(F1108=E1108,"No Change",IF(F1108&gt;E1108,"Increase","Decrease")),"New")</f>
        <v>Increase</v>
      </c>
      <c r="J1108" s="58"/>
      <c r="K1108" s="59" t="str">
        <f>IF(LEN(J1108)&gt;0,IF(OR(ISLOGICAL(J1108),J1108="TRUE"),"Yes",""),"")</f>
      </c>
      <c r="L1108" s="59"/>
      <c r="M1108" s="59"/>
      <c r="N1108" s="62" t="str">
        <f>IF(LEN(M1108)&gt;0,IF(OR(ISLOGICAL(M1108),M1108="TRUE"),"Yes",""),"")</f>
      </c>
      <c r="O1108" s="59"/>
      <c r="P1108" s="62" t="str">
        <f>IF(LEN(O1108)&gt;0,IF(OR(ISLOGICAL(O1108),O1108="TRUE"),"Yes",""),"")</f>
      </c>
      <c r="Q1108" s="62" t="s">
        <v>98</v>
      </c>
      <c r="R1108" s="63"/>
    </row>
    <row r="1109" spans="1:18" s="47" customFormat="1" ht="51">
      <c r="A1109" s="63" t="s">
        <v>2292</v>
      </c>
      <c r="B1109" s="63" t="s">
        <v>96</v>
      </c>
      <c r="C1109" s="63" t="s">
        <v>2293</v>
      </c>
      <c r="D1109" s="61"/>
      <c r="E1109" s="45">
        <v>0.28</v>
      </c>
      <c r="F1109" s="45">
        <v>0.28</v>
      </c>
      <c r="G1109" s="66">
        <v>46143</v>
      </c>
      <c r="H1109" s="45" t="str">
        <f>IF(ISNUMBER(E1109),F1109-E1109,"N/A")</f>
        <v>N/A</v>
      </c>
      <c r="I1109" s="46" t="str">
        <f>IF(E1109&lt;&gt;"",IF(F1109=E1109,"No Change",IF(F1109&gt;E1109,"Increase","Decrease")),"New")</f>
        <v>Increase</v>
      </c>
      <c r="J1109" s="58" t="s">
        <v>122</v>
      </c>
      <c r="K1109" s="59" t="str">
        <f>IF(LEN(J1109)&gt;0,IF(OR(ISLOGICAL(J1109),J1109="TRUE"),"Yes",""),"")</f>
      </c>
      <c r="L1109" s="59"/>
      <c r="M1109" s="59"/>
      <c r="N1109" s="62" t="str">
        <f>IF(LEN(M1109)&gt;0,IF(OR(ISLOGICAL(M1109),M1109="TRUE"),"Yes",""),"")</f>
      </c>
      <c r="O1109" s="59"/>
      <c r="P1109" s="62" t="str">
        <f>IF(LEN(O1109)&gt;0,IF(OR(ISLOGICAL(O1109),O1109="TRUE"),"Yes",""),"")</f>
      </c>
      <c r="Q1109" s="62" t="s">
        <v>98</v>
      </c>
      <c r="R1109" s="63"/>
    </row>
    <row r="1110" spans="1:18" s="47" customFormat="1" ht="51">
      <c r="A1110" s="63" t="s">
        <v>2294</v>
      </c>
      <c r="B1110" s="63" t="s">
        <v>96</v>
      </c>
      <c r="C1110" s="63" t="s">
        <v>2295</v>
      </c>
      <c r="D1110" s="61"/>
      <c r="E1110" s="45">
        <v>0.28</v>
      </c>
      <c r="F1110" s="45">
        <v>0.28</v>
      </c>
      <c r="G1110" s="66">
        <v>46143</v>
      </c>
      <c r="H1110" s="45" t="str">
        <f>IF(ISNUMBER(E1110),F1110-E1110,"N/A")</f>
        <v>N/A</v>
      </c>
      <c r="I1110" s="46" t="str">
        <f>IF(E1110&lt;&gt;"",IF(F1110=E1110,"No Change",IF(F1110&gt;E1110,"Increase","Decrease")),"New")</f>
        <v>Increase</v>
      </c>
      <c r="J1110" s="58" t="s">
        <v>122</v>
      </c>
      <c r="K1110" s="59" t="str">
        <f>IF(LEN(J1110)&gt;0,IF(OR(ISLOGICAL(J1110),J1110="TRUE"),"Yes",""),"")</f>
      </c>
      <c r="L1110" s="59"/>
      <c r="M1110" s="59"/>
      <c r="N1110" s="62" t="str">
        <f>IF(LEN(M1110)&gt;0,IF(OR(ISLOGICAL(M1110),M1110="TRUE"),"Yes",""),"")</f>
      </c>
      <c r="O1110" s="59"/>
      <c r="P1110" s="62" t="str">
        <f>IF(LEN(O1110)&gt;0,IF(OR(ISLOGICAL(O1110),O1110="TRUE"),"Yes",""),"")</f>
      </c>
      <c r="Q1110" s="62" t="s">
        <v>98</v>
      </c>
      <c r="R1110" s="63"/>
    </row>
    <row r="1111" spans="1:18" s="47" customFormat="1" ht="51">
      <c r="A1111" s="63" t="s">
        <v>2296</v>
      </c>
      <c r="B1111" s="63" t="s">
        <v>96</v>
      </c>
      <c r="C1111" s="63" t="s">
        <v>2297</v>
      </c>
      <c r="D1111" s="61"/>
      <c r="E1111" s="45">
        <v>0.2885</v>
      </c>
      <c r="F1111" s="45">
        <v>0.2885</v>
      </c>
      <c r="G1111" s="66">
        <v>45910</v>
      </c>
      <c r="H1111" s="45" t="str">
        <f>IF(ISNUMBER(E1111),F1111-E1111,"N/A")</f>
        <v>N/A</v>
      </c>
      <c r="I1111" s="46" t="str">
        <f>IF(E1111&lt;&gt;"",IF(F1111=E1111,"No Change",IF(F1111&gt;E1111,"Increase","Decrease")),"New")</f>
        <v>Increase</v>
      </c>
      <c r="J1111" s="58"/>
      <c r="K1111" s="59" t="str">
        <f>IF(LEN(J1111)&gt;0,IF(OR(ISLOGICAL(J1111),J1111="TRUE"),"Yes",""),"")</f>
      </c>
      <c r="L1111" s="59"/>
      <c r="M1111" s="59"/>
      <c r="N1111" s="62" t="str">
        <f>IF(LEN(M1111)&gt;0,IF(OR(ISLOGICAL(M1111),M1111="TRUE"),"Yes",""),"")</f>
      </c>
      <c r="O1111" s="59"/>
      <c r="P1111" s="62" t="str">
        <f>IF(LEN(O1111)&gt;0,IF(OR(ISLOGICAL(O1111),O1111="TRUE"),"Yes",""),"")</f>
      </c>
      <c r="Q1111" s="62" t="s">
        <v>98</v>
      </c>
      <c r="R1111" s="63"/>
    </row>
    <row r="1112" spans="1:18" s="47" customFormat="1" ht="51">
      <c r="A1112" s="63" t="s">
        <v>2298</v>
      </c>
      <c r="B1112" s="63" t="s">
        <v>96</v>
      </c>
      <c r="C1112" s="63" t="s">
        <v>2299</v>
      </c>
      <c r="D1112" s="61"/>
      <c r="E1112" s="45">
        <v>0.002</v>
      </c>
      <c r="F1112" s="45">
        <v>0.002</v>
      </c>
      <c r="G1112" s="66">
        <v>46082</v>
      </c>
      <c r="H1112" s="45" t="str">
        <f>IF(ISNUMBER(E1112),F1112-E1112,"N/A")</f>
        <v>N/A</v>
      </c>
      <c r="I1112" s="46" t="str">
        <f>IF(E1112&lt;&gt;"",IF(F1112=E1112,"No Change",IF(F1112&gt;E1112,"Increase","Decrease")),"New")</f>
        <v>Increase</v>
      </c>
      <c r="J1112" s="58"/>
      <c r="K1112" s="59" t="str">
        <f>IF(LEN(J1112)&gt;0,IF(OR(ISLOGICAL(J1112),J1112="TRUE"),"Yes",""),"")</f>
      </c>
      <c r="L1112" s="59"/>
      <c r="M1112" s="59"/>
      <c r="N1112" s="62" t="str">
        <f>IF(LEN(M1112)&gt;0,IF(OR(ISLOGICAL(M1112),M1112="TRUE"),"Yes",""),"")</f>
      </c>
      <c r="O1112" s="59"/>
      <c r="P1112" s="62" t="str">
        <f>IF(LEN(O1112)&gt;0,IF(OR(ISLOGICAL(O1112),O1112="TRUE"),"Yes",""),"")</f>
      </c>
      <c r="Q1112" s="62" t="s">
        <v>98</v>
      </c>
      <c r="R1112" s="63"/>
    </row>
    <row r="1113" spans="1:18" s="47" customFormat="1" ht="51">
      <c r="A1113" s="63" t="s">
        <v>2300</v>
      </c>
      <c r="B1113" s="63" t="s">
        <v>96</v>
      </c>
      <c r="C1113" s="63" t="s">
        <v>2301</v>
      </c>
      <c r="D1113" s="61"/>
      <c r="E1113" s="45">
        <v>0.002</v>
      </c>
      <c r="F1113" s="45">
        <v>0.002</v>
      </c>
      <c r="G1113" s="66">
        <v>46082</v>
      </c>
      <c r="H1113" s="45" t="str">
        <f>IF(ISNUMBER(E1113),F1113-E1113,"N/A")</f>
        <v>N/A</v>
      </c>
      <c r="I1113" s="46" t="str">
        <f>IF(E1113&lt;&gt;"",IF(F1113=E1113,"No Change",IF(F1113&gt;E1113,"Increase","Decrease")),"New")</f>
        <v>Increase</v>
      </c>
      <c r="J1113" s="58"/>
      <c r="K1113" s="59" t="str">
        <f>IF(LEN(J1113)&gt;0,IF(OR(ISLOGICAL(J1113),J1113="TRUE"),"Yes",""),"")</f>
      </c>
      <c r="L1113" s="59"/>
      <c r="M1113" s="59"/>
      <c r="N1113" s="62" t="str">
        <f>IF(LEN(M1113)&gt;0,IF(OR(ISLOGICAL(M1113),M1113="TRUE"),"Yes",""),"")</f>
      </c>
      <c r="O1113" s="59"/>
      <c r="P1113" s="62" t="str">
        <f>IF(LEN(O1113)&gt;0,IF(OR(ISLOGICAL(O1113),O1113="TRUE"),"Yes",""),"")</f>
      </c>
      <c r="Q1113" s="62" t="s">
        <v>98</v>
      </c>
      <c r="R1113" s="63"/>
    </row>
    <row r="1114" spans="1:18" s="47" customFormat="1" ht="51">
      <c r="A1114" s="63" t="s">
        <v>2302</v>
      </c>
      <c r="B1114" s="63" t="s">
        <v>96</v>
      </c>
      <c r="C1114" s="63" t="s">
        <v>2303</v>
      </c>
      <c r="D1114" s="61"/>
      <c r="E1114" s="45">
        <v>0.04</v>
      </c>
      <c r="F1114" s="45">
        <v>0.04</v>
      </c>
      <c r="G1114" s="66">
        <v>46127</v>
      </c>
      <c r="H1114" s="45" t="str">
        <f>IF(ISNUMBER(E1114),F1114-E1114,"N/A")</f>
        <v>N/A</v>
      </c>
      <c r="I1114" s="46" t="str">
        <f>IF(E1114&lt;&gt;"",IF(F1114=E1114,"No Change",IF(F1114&gt;E1114,"Increase","Decrease")),"New")</f>
        <v>Increase</v>
      </c>
      <c r="J1114" s="58"/>
      <c r="K1114" s="59" t="str">
        <f>IF(LEN(J1114)&gt;0,IF(OR(ISLOGICAL(J1114),J1114="TRUE"),"Yes",""),"")</f>
      </c>
      <c r="L1114" s="59"/>
      <c r="M1114" s="59"/>
      <c r="N1114" s="62" t="str">
        <f>IF(LEN(M1114)&gt;0,IF(OR(ISLOGICAL(M1114),M1114="TRUE"),"Yes",""),"")</f>
      </c>
      <c r="O1114" s="59"/>
      <c r="P1114" s="62" t="str">
        <f>IF(LEN(O1114)&gt;0,IF(OR(ISLOGICAL(O1114),O1114="TRUE"),"Yes",""),"")</f>
      </c>
      <c r="Q1114" s="62" t="s">
        <v>98</v>
      </c>
      <c r="R1114" s="63"/>
    </row>
    <row r="1115" spans="1:18" s="47" customFormat="1" ht="51">
      <c r="A1115" s="63" t="s">
        <v>2304</v>
      </c>
      <c r="B1115" s="63" t="s">
        <v>96</v>
      </c>
      <c r="C1115" s="63" t="s">
        <v>2305</v>
      </c>
      <c r="D1115" s="61"/>
      <c r="E1115" s="45">
        <v>0.04</v>
      </c>
      <c r="F1115" s="45">
        <v>0.04</v>
      </c>
      <c r="G1115" s="66">
        <v>46127</v>
      </c>
      <c r="H1115" s="45" t="str">
        <f>IF(ISNUMBER(E1115),F1115-E1115,"N/A")</f>
        <v>N/A</v>
      </c>
      <c r="I1115" s="46" t="str">
        <f>IF(E1115&lt;&gt;"",IF(F1115=E1115,"No Change",IF(F1115&gt;E1115,"Increase","Decrease")),"New")</f>
        <v>Increase</v>
      </c>
      <c r="J1115" s="58"/>
      <c r="K1115" s="59" t="str">
        <f>IF(LEN(J1115)&gt;0,IF(OR(ISLOGICAL(J1115),J1115="TRUE"),"Yes",""),"")</f>
      </c>
      <c r="L1115" s="59"/>
      <c r="M1115" s="59"/>
      <c r="N1115" s="62" t="str">
        <f>IF(LEN(M1115)&gt;0,IF(OR(ISLOGICAL(M1115),M1115="TRUE"),"Yes",""),"")</f>
      </c>
      <c r="O1115" s="59"/>
      <c r="P1115" s="62" t="str">
        <f>IF(LEN(O1115)&gt;0,IF(OR(ISLOGICAL(O1115),O1115="TRUE"),"Yes",""),"")</f>
      </c>
      <c r="Q1115" s="62" t="s">
        <v>98</v>
      </c>
      <c r="R1115" s="63"/>
    </row>
    <row r="1116" spans="1:18" s="47" customFormat="1" ht="51">
      <c r="A1116" s="63" t="s">
        <v>2306</v>
      </c>
      <c r="B1116" s="63" t="s">
        <v>96</v>
      </c>
      <c r="C1116" s="63" t="s">
        <v>2307</v>
      </c>
      <c r="D1116" s="61"/>
      <c r="E1116" s="45">
        <v>0.04</v>
      </c>
      <c r="F1116" s="45">
        <v>0.04</v>
      </c>
      <c r="G1116" s="66">
        <v>46127</v>
      </c>
      <c r="H1116" s="45" t="str">
        <f>IF(ISNUMBER(E1116),F1116-E1116,"N/A")</f>
        <v>N/A</v>
      </c>
      <c r="I1116" s="46" t="str">
        <f>IF(E1116&lt;&gt;"",IF(F1116=E1116,"No Change",IF(F1116&gt;E1116,"Increase","Decrease")),"New")</f>
        <v>Increase</v>
      </c>
      <c r="J1116" s="58"/>
      <c r="K1116" s="59" t="str">
        <f>IF(LEN(J1116)&gt;0,IF(OR(ISLOGICAL(J1116),J1116="TRUE"),"Yes",""),"")</f>
      </c>
      <c r="L1116" s="59"/>
      <c r="M1116" s="59"/>
      <c r="N1116" s="62" t="str">
        <f>IF(LEN(M1116)&gt;0,IF(OR(ISLOGICAL(M1116),M1116="TRUE"),"Yes",""),"")</f>
      </c>
      <c r="O1116" s="59"/>
      <c r="P1116" s="62" t="str">
        <f>IF(LEN(O1116)&gt;0,IF(OR(ISLOGICAL(O1116),O1116="TRUE"),"Yes",""),"")</f>
      </c>
      <c r="Q1116" s="62" t="s">
        <v>98</v>
      </c>
      <c r="R1116" s="63"/>
    </row>
    <row r="1117" spans="1:18" s="47" customFormat="1" ht="51">
      <c r="A1117" s="63" t="s">
        <v>2308</v>
      </c>
      <c r="B1117" s="63" t="s">
        <v>96</v>
      </c>
      <c r="C1117" s="63" t="s">
        <v>2309</v>
      </c>
      <c r="D1117" s="61"/>
      <c r="E1117" s="45">
        <v>0.04</v>
      </c>
      <c r="F1117" s="45">
        <v>0.04</v>
      </c>
      <c r="G1117" s="66">
        <v>46127</v>
      </c>
      <c r="H1117" s="45" t="str">
        <f>IF(ISNUMBER(E1117),F1117-E1117,"N/A")</f>
        <v>N/A</v>
      </c>
      <c r="I1117" s="46" t="str">
        <f>IF(E1117&lt;&gt;"",IF(F1117=E1117,"No Change",IF(F1117&gt;E1117,"Increase","Decrease")),"New")</f>
        <v>Increase</v>
      </c>
      <c r="J1117" s="58"/>
      <c r="K1117" s="59" t="str">
        <f>IF(LEN(J1117)&gt;0,IF(OR(ISLOGICAL(J1117),J1117="TRUE"),"Yes",""),"")</f>
      </c>
      <c r="L1117" s="59"/>
      <c r="M1117" s="59"/>
      <c r="N1117" s="62" t="str">
        <f>IF(LEN(M1117)&gt;0,IF(OR(ISLOGICAL(M1117),M1117="TRUE"),"Yes",""),"")</f>
      </c>
      <c r="O1117" s="59"/>
      <c r="P1117" s="62" t="str">
        <f>IF(LEN(O1117)&gt;0,IF(OR(ISLOGICAL(O1117),O1117="TRUE"),"Yes",""),"")</f>
      </c>
      <c r="Q1117" s="62" t="s">
        <v>98</v>
      </c>
      <c r="R1117" s="63"/>
    </row>
    <row r="1118" spans="1:18" s="47" customFormat="1" ht="51">
      <c r="A1118" s="63" t="s">
        <v>2310</v>
      </c>
      <c r="B1118" s="63" t="s">
        <v>96</v>
      </c>
      <c r="C1118" s="63" t="s">
        <v>2311</v>
      </c>
      <c r="D1118" s="61"/>
      <c r="E1118" s="45">
        <v>0.325</v>
      </c>
      <c r="F1118" s="45">
        <v>0.325</v>
      </c>
      <c r="G1118" s="66">
        <v>46082</v>
      </c>
      <c r="H1118" s="45" t="str">
        <f>IF(ISNUMBER(E1118),F1118-E1118,"N/A")</f>
        <v>N/A</v>
      </c>
      <c r="I1118" s="46" t="str">
        <f>IF(E1118&lt;&gt;"",IF(F1118=E1118,"No Change",IF(F1118&gt;E1118,"Increase","Decrease")),"New")</f>
        <v>Increase</v>
      </c>
      <c r="J1118" s="58"/>
      <c r="K1118" s="59" t="str">
        <f>IF(LEN(J1118)&gt;0,IF(OR(ISLOGICAL(J1118),J1118="TRUE"),"Yes",""),"")</f>
      </c>
      <c r="L1118" s="59"/>
      <c r="M1118" s="59"/>
      <c r="N1118" s="62" t="str">
        <f>IF(LEN(M1118)&gt;0,IF(OR(ISLOGICAL(M1118),M1118="TRUE"),"Yes",""),"")</f>
      </c>
      <c r="O1118" s="59"/>
      <c r="P1118" s="62" t="str">
        <f>IF(LEN(O1118)&gt;0,IF(OR(ISLOGICAL(O1118),O1118="TRUE"),"Yes",""),"")</f>
      </c>
      <c r="Q1118" s="62" t="s">
        <v>98</v>
      </c>
      <c r="R1118" s="63"/>
    </row>
    <row r="1119" spans="1:18" s="47" customFormat="1" ht="51">
      <c r="A1119" s="63" t="s">
        <v>2312</v>
      </c>
      <c r="B1119" s="63" t="s">
        <v>96</v>
      </c>
      <c r="C1119" s="63" t="s">
        <v>2313</v>
      </c>
      <c r="D1119" s="61"/>
      <c r="E1119" s="45">
        <v>0.325</v>
      </c>
      <c r="F1119" s="45">
        <v>0.325</v>
      </c>
      <c r="G1119" s="66">
        <v>46082</v>
      </c>
      <c r="H1119" s="45" t="str">
        <f>IF(ISNUMBER(E1119),F1119-E1119,"N/A")</f>
        <v>N/A</v>
      </c>
      <c r="I1119" s="46" t="str">
        <f>IF(E1119&lt;&gt;"",IF(F1119=E1119,"No Change",IF(F1119&gt;E1119,"Increase","Decrease")),"New")</f>
        <v>Increase</v>
      </c>
      <c r="J1119" s="58"/>
      <c r="K1119" s="59" t="str">
        <f>IF(LEN(J1119)&gt;0,IF(OR(ISLOGICAL(J1119),J1119="TRUE"),"Yes",""),"")</f>
      </c>
      <c r="L1119" s="59"/>
      <c r="M1119" s="59"/>
      <c r="N1119" s="62" t="str">
        <f>IF(LEN(M1119)&gt;0,IF(OR(ISLOGICAL(M1119),M1119="TRUE"),"Yes",""),"")</f>
      </c>
      <c r="O1119" s="59"/>
      <c r="P1119" s="62" t="str">
        <f>IF(LEN(O1119)&gt;0,IF(OR(ISLOGICAL(O1119),O1119="TRUE"),"Yes",""),"")</f>
      </c>
      <c r="Q1119" s="62" t="s">
        <v>98</v>
      </c>
      <c r="R1119" s="63"/>
    </row>
    <row r="1120" spans="1:18" s="47" customFormat="1" ht="51">
      <c r="A1120" s="63" t="s">
        <v>2314</v>
      </c>
      <c r="B1120" s="63" t="s">
        <v>96</v>
      </c>
      <c r="C1120" s="63" t="s">
        <v>2315</v>
      </c>
      <c r="D1120" s="61"/>
      <c r="E1120" s="45">
        <v>0.325</v>
      </c>
      <c r="F1120" s="45">
        <v>0.325</v>
      </c>
      <c r="G1120" s="66">
        <v>45847</v>
      </c>
      <c r="H1120" s="45" t="str">
        <f>IF(ISNUMBER(E1120),F1120-E1120,"N/A")</f>
        <v>N/A</v>
      </c>
      <c r="I1120" s="46" t="str">
        <f>IF(E1120&lt;&gt;"",IF(F1120=E1120,"No Change",IF(F1120&gt;E1120,"Increase","Decrease")),"New")</f>
        <v>Increase</v>
      </c>
      <c r="J1120" s="58" t="s">
        <v>122</v>
      </c>
      <c r="K1120" s="59" t="str">
        <f>IF(LEN(J1120)&gt;0,IF(OR(ISLOGICAL(J1120),J1120="TRUE"),"Yes",""),"")</f>
      </c>
      <c r="L1120" s="59"/>
      <c r="M1120" s="59"/>
      <c r="N1120" s="62" t="str">
        <f>IF(LEN(M1120)&gt;0,IF(OR(ISLOGICAL(M1120),M1120="TRUE"),"Yes",""),"")</f>
      </c>
      <c r="O1120" s="59"/>
      <c r="P1120" s="62" t="str">
        <f>IF(LEN(O1120)&gt;0,IF(OR(ISLOGICAL(O1120),O1120="TRUE"),"Yes",""),"")</f>
      </c>
      <c r="Q1120" s="62" t="s">
        <v>98</v>
      </c>
      <c r="R1120" s="63"/>
    </row>
    <row r="1121" spans="1:18" s="47" customFormat="1" ht="51">
      <c r="A1121" s="63" t="s">
        <v>2316</v>
      </c>
      <c r="B1121" s="63" t="s">
        <v>96</v>
      </c>
      <c r="C1121" s="63" t="s">
        <v>2317</v>
      </c>
      <c r="D1121" s="61"/>
      <c r="E1121" s="45">
        <v>0.325</v>
      </c>
      <c r="F1121" s="45">
        <v>0.325</v>
      </c>
      <c r="G1121" s="66">
        <v>46078</v>
      </c>
      <c r="H1121" s="45" t="str">
        <f>IF(ISNUMBER(E1121),F1121-E1121,"N/A")</f>
        <v>N/A</v>
      </c>
      <c r="I1121" s="46" t="str">
        <f>IF(E1121&lt;&gt;"",IF(F1121=E1121,"No Change",IF(F1121&gt;E1121,"Increase","Decrease")),"New")</f>
        <v>Increase</v>
      </c>
      <c r="J1121" s="58" t="s">
        <v>122</v>
      </c>
      <c r="K1121" s="59" t="str">
        <f>IF(LEN(J1121)&gt;0,IF(OR(ISLOGICAL(J1121),J1121="TRUE"),"Yes",""),"")</f>
      </c>
      <c r="L1121" s="59"/>
      <c r="M1121" s="59"/>
      <c r="N1121" s="62" t="str">
        <f>IF(LEN(M1121)&gt;0,IF(OR(ISLOGICAL(M1121),M1121="TRUE"),"Yes",""),"")</f>
      </c>
      <c r="O1121" s="59"/>
      <c r="P1121" s="62" t="str">
        <f>IF(LEN(O1121)&gt;0,IF(OR(ISLOGICAL(O1121),O1121="TRUE"),"Yes",""),"")</f>
      </c>
      <c r="Q1121" s="62" t="s">
        <v>98</v>
      </c>
      <c r="R1121" s="63"/>
    </row>
    <row r="1122" spans="1:18" s="47" customFormat="1" ht="51">
      <c r="A1122" s="63" t="s">
        <v>2318</v>
      </c>
      <c r="B1122" s="63" t="s">
        <v>96</v>
      </c>
      <c r="C1122" s="63" t="s">
        <v>2319</v>
      </c>
      <c r="D1122" s="61"/>
      <c r="E1122" s="45">
        <v>0.325</v>
      </c>
      <c r="F1122" s="45">
        <v>0.325</v>
      </c>
      <c r="G1122" s="66">
        <v>46085</v>
      </c>
      <c r="H1122" s="45" t="str">
        <f>IF(ISNUMBER(E1122),F1122-E1122,"N/A")</f>
        <v>N/A</v>
      </c>
      <c r="I1122" s="46" t="str">
        <f>IF(E1122&lt;&gt;"",IF(F1122=E1122,"No Change",IF(F1122&gt;E1122,"Increase","Decrease")),"New")</f>
        <v>Increase</v>
      </c>
      <c r="J1122" s="58" t="s">
        <v>122</v>
      </c>
      <c r="K1122" s="59" t="str">
        <f>IF(LEN(J1122)&gt;0,IF(OR(ISLOGICAL(J1122),J1122="TRUE"),"Yes",""),"")</f>
      </c>
      <c r="L1122" s="59"/>
      <c r="M1122" s="59"/>
      <c r="N1122" s="62" t="str">
        <f>IF(LEN(M1122)&gt;0,IF(OR(ISLOGICAL(M1122),M1122="TRUE"),"Yes",""),"")</f>
      </c>
      <c r="O1122" s="59"/>
      <c r="P1122" s="62" t="str">
        <f>IF(LEN(O1122)&gt;0,IF(OR(ISLOGICAL(O1122),O1122="TRUE"),"Yes",""),"")</f>
      </c>
      <c r="Q1122" s="62" t="s">
        <v>98</v>
      </c>
      <c r="R1122" s="63"/>
    </row>
    <row r="1123" spans="1:18" s="47" customFormat="1" ht="51">
      <c r="A1123" s="63" t="s">
        <v>2320</v>
      </c>
      <c r="B1123" s="63" t="s">
        <v>96</v>
      </c>
      <c r="C1123" s="63" t="s">
        <v>2321</v>
      </c>
      <c r="D1123" s="61"/>
      <c r="E1123" s="45">
        <v>0.325</v>
      </c>
      <c r="F1123" s="45">
        <v>0.325</v>
      </c>
      <c r="G1123" s="66">
        <v>45847</v>
      </c>
      <c r="H1123" s="45" t="str">
        <f>IF(ISNUMBER(E1123),F1123-E1123,"N/A")</f>
        <v>N/A</v>
      </c>
      <c r="I1123" s="46" t="str">
        <f>IF(E1123&lt;&gt;"",IF(F1123=E1123,"No Change",IF(F1123&gt;E1123,"Increase","Decrease")),"New")</f>
        <v>Increase</v>
      </c>
      <c r="J1123" s="58"/>
      <c r="K1123" s="59" t="str">
        <f>IF(LEN(J1123)&gt;0,IF(OR(ISLOGICAL(J1123),J1123="TRUE"),"Yes",""),"")</f>
      </c>
      <c r="L1123" s="59"/>
      <c r="M1123" s="59"/>
      <c r="N1123" s="62" t="str">
        <f>IF(LEN(M1123)&gt;0,IF(OR(ISLOGICAL(M1123),M1123="TRUE"),"Yes",""),"")</f>
      </c>
      <c r="O1123" s="59"/>
      <c r="P1123" s="62" t="str">
        <f>IF(LEN(O1123)&gt;0,IF(OR(ISLOGICAL(O1123),O1123="TRUE"),"Yes",""),"")</f>
      </c>
      <c r="Q1123" s="62" t="s">
        <v>98</v>
      </c>
      <c r="R1123" s="63"/>
    </row>
    <row r="1124" spans="1:18" s="47" customFormat="1" ht="51">
      <c r="A1124" s="63" t="s">
        <v>2322</v>
      </c>
      <c r="B1124" s="63" t="s">
        <v>96</v>
      </c>
      <c r="C1124" s="63" t="s">
        <v>2323</v>
      </c>
      <c r="D1124" s="61"/>
      <c r="E1124" s="45">
        <v>0.325</v>
      </c>
      <c r="F1124" s="45">
        <v>0.325</v>
      </c>
      <c r="G1124" s="66">
        <v>46078</v>
      </c>
      <c r="H1124" s="45" t="str">
        <f>IF(ISNUMBER(E1124),F1124-E1124,"N/A")</f>
        <v>N/A</v>
      </c>
      <c r="I1124" s="46" t="str">
        <f>IF(E1124&lt;&gt;"",IF(F1124=E1124,"No Change",IF(F1124&gt;E1124,"Increase","Decrease")),"New")</f>
        <v>Increase</v>
      </c>
      <c r="J1124" s="58" t="s">
        <v>122</v>
      </c>
      <c r="K1124" s="59" t="str">
        <f>IF(LEN(J1124)&gt;0,IF(OR(ISLOGICAL(J1124),J1124="TRUE"),"Yes",""),"")</f>
      </c>
      <c r="L1124" s="59"/>
      <c r="M1124" s="59"/>
      <c r="N1124" s="62" t="str">
        <f>IF(LEN(M1124)&gt;0,IF(OR(ISLOGICAL(M1124),M1124="TRUE"),"Yes",""),"")</f>
      </c>
      <c r="O1124" s="59"/>
      <c r="P1124" s="62" t="str">
        <f>IF(LEN(O1124)&gt;0,IF(OR(ISLOGICAL(O1124),O1124="TRUE"),"Yes",""),"")</f>
      </c>
      <c r="Q1124" s="62" t="s">
        <v>98</v>
      </c>
      <c r="R1124" s="63"/>
    </row>
    <row r="1125" spans="1:18" s="47" customFormat="1" ht="51">
      <c r="A1125" s="63" t="s">
        <v>2324</v>
      </c>
      <c r="B1125" s="63" t="s">
        <v>96</v>
      </c>
      <c r="C1125" s="63" t="s">
        <v>2325</v>
      </c>
      <c r="D1125" s="61"/>
      <c r="E1125" s="45">
        <v>0.325</v>
      </c>
      <c r="F1125" s="45">
        <v>0.325</v>
      </c>
      <c r="G1125" s="66">
        <v>46085</v>
      </c>
      <c r="H1125" s="45" t="str">
        <f>IF(ISNUMBER(E1125),F1125-E1125,"N/A")</f>
        <v>N/A</v>
      </c>
      <c r="I1125" s="46" t="str">
        <f>IF(E1125&lt;&gt;"",IF(F1125=E1125,"No Change",IF(F1125&gt;E1125,"Increase","Decrease")),"New")</f>
        <v>Increase</v>
      </c>
      <c r="J1125" s="58" t="s">
        <v>122</v>
      </c>
      <c r="K1125" s="59" t="str">
        <f>IF(LEN(J1125)&gt;0,IF(OR(ISLOGICAL(J1125),J1125="TRUE"),"Yes",""),"")</f>
      </c>
      <c r="L1125" s="59"/>
      <c r="M1125" s="59"/>
      <c r="N1125" s="62" t="str">
        <f>IF(LEN(M1125)&gt;0,IF(OR(ISLOGICAL(M1125),M1125="TRUE"),"Yes",""),"")</f>
      </c>
      <c r="O1125" s="59"/>
      <c r="P1125" s="62" t="str">
        <f>IF(LEN(O1125)&gt;0,IF(OR(ISLOGICAL(O1125),O1125="TRUE"),"Yes",""),"")</f>
      </c>
      <c r="Q1125" s="62" t="s">
        <v>98</v>
      </c>
      <c r="R1125" s="63"/>
    </row>
    <row r="1126" spans="1:18" s="47" customFormat="1" ht="51">
      <c r="A1126" s="63" t="s">
        <v>2326</v>
      </c>
      <c r="B1126" s="63" t="s">
        <v>96</v>
      </c>
      <c r="C1126" s="63" t="s">
        <v>2327</v>
      </c>
      <c r="D1126" s="61"/>
      <c r="E1126" s="45">
        <v>0.0155</v>
      </c>
      <c r="F1126" s="45">
        <v>0.0155</v>
      </c>
      <c r="G1126" s="66">
        <v>46078</v>
      </c>
      <c r="H1126" s="45" t="str">
        <f>IF(ISNUMBER(E1126),F1126-E1126,"N/A")</f>
        <v>N/A</v>
      </c>
      <c r="I1126" s="46" t="str">
        <f>IF(E1126&lt;&gt;"",IF(F1126=E1126,"No Change",IF(F1126&gt;E1126,"Increase","Decrease")),"New")</f>
        <v>Increase</v>
      </c>
      <c r="J1126" s="58"/>
      <c r="K1126" s="59" t="str">
        <f>IF(LEN(J1126)&gt;0,IF(OR(ISLOGICAL(J1126),J1126="TRUE"),"Yes",""),"")</f>
      </c>
      <c r="L1126" s="59"/>
      <c r="M1126" s="59"/>
      <c r="N1126" s="62" t="str">
        <f>IF(LEN(M1126)&gt;0,IF(OR(ISLOGICAL(M1126),M1126="TRUE"),"Yes",""),"")</f>
      </c>
      <c r="O1126" s="59"/>
      <c r="P1126" s="62" t="str">
        <f>IF(LEN(O1126)&gt;0,IF(OR(ISLOGICAL(O1126),O1126="TRUE"),"Yes",""),"")</f>
      </c>
      <c r="Q1126" s="62" t="s">
        <v>98</v>
      </c>
      <c r="R1126" s="63"/>
    </row>
    <row r="1127" spans="1:18" s="47" customFormat="1" ht="51">
      <c r="A1127" s="63" t="s">
        <v>2328</v>
      </c>
      <c r="B1127" s="63" t="s">
        <v>96</v>
      </c>
      <c r="C1127" s="63" t="s">
        <v>2329</v>
      </c>
      <c r="D1127" s="61"/>
      <c r="E1127" s="45">
        <v>0.145</v>
      </c>
      <c r="F1127" s="45">
        <v>0.145</v>
      </c>
      <c r="G1127" s="66">
        <v>46078</v>
      </c>
      <c r="H1127" s="45" t="str">
        <f>IF(ISNUMBER(E1127),F1127-E1127,"N/A")</f>
        <v>N/A</v>
      </c>
      <c r="I1127" s="46" t="str">
        <f>IF(E1127&lt;&gt;"",IF(F1127=E1127,"No Change",IF(F1127&gt;E1127,"Increase","Decrease")),"New")</f>
        <v>Increase</v>
      </c>
      <c r="J1127" s="58"/>
      <c r="K1127" s="59" t="str">
        <f>IF(LEN(J1127)&gt;0,IF(OR(ISLOGICAL(J1127),J1127="TRUE"),"Yes",""),"")</f>
      </c>
      <c r="L1127" s="59"/>
      <c r="M1127" s="59"/>
      <c r="N1127" s="62" t="str">
        <f>IF(LEN(M1127)&gt;0,IF(OR(ISLOGICAL(M1127),M1127="TRUE"),"Yes",""),"")</f>
      </c>
      <c r="O1127" s="59"/>
      <c r="P1127" s="62" t="str">
        <f>IF(LEN(O1127)&gt;0,IF(OR(ISLOGICAL(O1127),O1127="TRUE"),"Yes",""),"")</f>
      </c>
      <c r="Q1127" s="62" t="s">
        <v>98</v>
      </c>
      <c r="R1127" s="63"/>
    </row>
    <row r="1128" spans="1:18" s="47" customFormat="1" ht="51">
      <c r="A1128" s="63" t="s">
        <v>2330</v>
      </c>
      <c r="B1128" s="63" t="s">
        <v>96</v>
      </c>
      <c r="C1128" s="63" t="s">
        <v>2331</v>
      </c>
      <c r="D1128" s="61"/>
      <c r="E1128" s="45">
        <v>0.145</v>
      </c>
      <c r="F1128" s="45">
        <v>0.145</v>
      </c>
      <c r="G1128" s="66">
        <v>46092</v>
      </c>
      <c r="H1128" s="45" t="str">
        <f>IF(ISNUMBER(E1128),F1128-E1128,"N/A")</f>
        <v>N/A</v>
      </c>
      <c r="I1128" s="46" t="str">
        <f>IF(E1128&lt;&gt;"",IF(F1128=E1128,"No Change",IF(F1128&gt;E1128,"Increase","Decrease")),"New")</f>
        <v>Increase</v>
      </c>
      <c r="J1128" s="58"/>
      <c r="K1128" s="59" t="str">
        <f>IF(LEN(J1128)&gt;0,IF(OR(ISLOGICAL(J1128),J1128="TRUE"),"Yes",""),"")</f>
      </c>
      <c r="L1128" s="59"/>
      <c r="M1128" s="59"/>
      <c r="N1128" s="62" t="str">
        <f>IF(LEN(M1128)&gt;0,IF(OR(ISLOGICAL(M1128),M1128="TRUE"),"Yes",""),"")</f>
      </c>
      <c r="O1128" s="59"/>
      <c r="P1128" s="62" t="str">
        <f>IF(LEN(O1128)&gt;0,IF(OR(ISLOGICAL(O1128),O1128="TRUE"),"Yes",""),"")</f>
      </c>
      <c r="Q1128" s="62" t="s">
        <v>98</v>
      </c>
      <c r="R1128" s="63"/>
    </row>
    <row r="1129" spans="1:18" s="47" customFormat="1" ht="51">
      <c r="A1129" s="63" t="s">
        <v>2332</v>
      </c>
      <c r="B1129" s="63" t="s">
        <v>96</v>
      </c>
      <c r="C1129" s="63" t="s">
        <v>2333</v>
      </c>
      <c r="D1129" s="61"/>
      <c r="E1129" s="45">
        <v>0.0137</v>
      </c>
      <c r="F1129" s="45">
        <v>0.0137</v>
      </c>
      <c r="G1129" s="66">
        <v>46092</v>
      </c>
      <c r="H1129" s="45" t="str">
        <f>IF(ISNUMBER(E1129),F1129-E1129,"N/A")</f>
        <v>N/A</v>
      </c>
      <c r="I1129" s="46" t="str">
        <f>IF(E1129&lt;&gt;"",IF(F1129=E1129,"No Change",IF(F1129&gt;E1129,"Increase","Decrease")),"New")</f>
        <v>Increase</v>
      </c>
      <c r="J1129" s="58"/>
      <c r="K1129" s="59" t="str">
        <f>IF(LEN(J1129)&gt;0,IF(OR(ISLOGICAL(J1129),J1129="TRUE"),"Yes",""),"")</f>
      </c>
      <c r="L1129" s="59"/>
      <c r="M1129" s="59"/>
      <c r="N1129" s="62" t="str">
        <f>IF(LEN(M1129)&gt;0,IF(OR(ISLOGICAL(M1129),M1129="TRUE"),"Yes",""),"")</f>
      </c>
      <c r="O1129" s="59"/>
      <c r="P1129" s="62" t="str">
        <f>IF(LEN(O1129)&gt;0,IF(OR(ISLOGICAL(O1129),O1129="TRUE"),"Yes",""),"")</f>
      </c>
      <c r="Q1129" s="62" t="s">
        <v>98</v>
      </c>
      <c r="R1129" s="63"/>
    </row>
    <row r="1130" spans="1:18" s="47" customFormat="1" ht="51">
      <c r="A1130" s="63" t="s">
        <v>2334</v>
      </c>
      <c r="B1130" s="63" t="s">
        <v>96</v>
      </c>
      <c r="C1130" s="63" t="s">
        <v>2335</v>
      </c>
      <c r="D1130" s="61"/>
      <c r="E1130" s="45">
        <v>0.0168</v>
      </c>
      <c r="F1130" s="45">
        <v>0.0168</v>
      </c>
      <c r="G1130" s="66">
        <v>43564</v>
      </c>
      <c r="H1130" s="45" t="str">
        <f>IF(ISNUMBER(E1130),F1130-E1130,"N/A")</f>
        <v>N/A</v>
      </c>
      <c r="I1130" s="46" t="str">
        <f>IF(E1130&lt;&gt;"",IF(F1130=E1130,"No Change",IF(F1130&gt;E1130,"Increase","Decrease")),"New")</f>
        <v>Increase</v>
      </c>
      <c r="J1130" s="58"/>
      <c r="K1130" s="59" t="str">
        <f>IF(LEN(J1130)&gt;0,IF(OR(ISLOGICAL(J1130),J1130="TRUE"),"Yes",""),"")</f>
      </c>
      <c r="L1130" s="59"/>
      <c r="M1130" s="59"/>
      <c r="N1130" s="62" t="str">
        <f>IF(LEN(M1130)&gt;0,IF(OR(ISLOGICAL(M1130),M1130="TRUE"),"Yes",""),"")</f>
      </c>
      <c r="O1130" s="59"/>
      <c r="P1130" s="62" t="str">
        <f>IF(LEN(O1130)&gt;0,IF(OR(ISLOGICAL(O1130),O1130="TRUE"),"Yes",""),"")</f>
      </c>
      <c r="Q1130" s="62" t="s">
        <v>98</v>
      </c>
      <c r="R1130" s="63"/>
    </row>
    <row r="1131" spans="1:18" s="47" customFormat="1" ht="51">
      <c r="A1131" s="63" t="s">
        <v>2336</v>
      </c>
      <c r="B1131" s="63" t="s">
        <v>96</v>
      </c>
      <c r="C1131" s="63" t="s">
        <v>2337</v>
      </c>
      <c r="D1131" s="61"/>
      <c r="E1131" s="45">
        <v>0.078</v>
      </c>
      <c r="F1131" s="45">
        <v>0.078</v>
      </c>
      <c r="G1131" s="66">
        <v>46015</v>
      </c>
      <c r="H1131" s="45" t="str">
        <f>IF(ISNUMBER(E1131),F1131-E1131,"N/A")</f>
        <v>N/A</v>
      </c>
      <c r="I1131" s="46" t="str">
        <f>IF(E1131&lt;&gt;"",IF(F1131=E1131,"No Change",IF(F1131&gt;E1131,"Increase","Decrease")),"New")</f>
        <v>Increase</v>
      </c>
      <c r="J1131" s="58" t="s">
        <v>122</v>
      </c>
      <c r="K1131" s="59" t="str">
        <f>IF(LEN(J1131)&gt;0,IF(OR(ISLOGICAL(J1131),J1131="TRUE"),"Yes",""),"")</f>
      </c>
      <c r="L1131" s="59"/>
      <c r="M1131" s="59"/>
      <c r="N1131" s="62" t="str">
        <f>IF(LEN(M1131)&gt;0,IF(OR(ISLOGICAL(M1131),M1131="TRUE"),"Yes",""),"")</f>
      </c>
      <c r="O1131" s="59"/>
      <c r="P1131" s="62" t="str">
        <f>IF(LEN(O1131)&gt;0,IF(OR(ISLOGICAL(O1131),O1131="TRUE"),"Yes",""),"")</f>
      </c>
      <c r="Q1131" s="62" t="s">
        <v>98</v>
      </c>
      <c r="R1131" s="63"/>
    </row>
    <row r="1132" spans="1:18" s="47" customFormat="1" ht="51">
      <c r="A1132" s="63" t="s">
        <v>2338</v>
      </c>
      <c r="B1132" s="63" t="s">
        <v>96</v>
      </c>
      <c r="C1132" s="63" t="s">
        <v>2339</v>
      </c>
      <c r="D1132" s="61"/>
      <c r="E1132" s="45">
        <v>0.085</v>
      </c>
      <c r="F1132" s="45">
        <v>0.085</v>
      </c>
      <c r="G1132" s="66">
        <v>46023</v>
      </c>
      <c r="H1132" s="45" t="str">
        <f>IF(ISNUMBER(E1132),F1132-E1132,"N/A")</f>
        <v>N/A</v>
      </c>
      <c r="I1132" s="46" t="str">
        <f>IF(E1132&lt;&gt;"",IF(F1132=E1132,"No Change",IF(F1132&gt;E1132,"Increase","Decrease")),"New")</f>
        <v>Increase</v>
      </c>
      <c r="J1132" s="58" t="s">
        <v>122</v>
      </c>
      <c r="K1132" s="59" t="str">
        <f>IF(LEN(J1132)&gt;0,IF(OR(ISLOGICAL(J1132),J1132="TRUE"),"Yes",""),"")</f>
      </c>
      <c r="L1132" s="59"/>
      <c r="M1132" s="59"/>
      <c r="N1132" s="62" t="str">
        <f>IF(LEN(M1132)&gt;0,IF(OR(ISLOGICAL(M1132),M1132="TRUE"),"Yes",""),"")</f>
      </c>
      <c r="O1132" s="59"/>
      <c r="P1132" s="62" t="str">
        <f>IF(LEN(O1132)&gt;0,IF(OR(ISLOGICAL(O1132),O1132="TRUE"),"Yes",""),"")</f>
      </c>
      <c r="Q1132" s="62" t="s">
        <v>98</v>
      </c>
      <c r="R1132" s="63"/>
    </row>
    <row r="1133" spans="1:18" s="47" customFormat="1" ht="51">
      <c r="A1133" s="63" t="s">
        <v>2340</v>
      </c>
      <c r="B1133" s="63" t="s">
        <v>96</v>
      </c>
      <c r="C1133" s="63" t="s">
        <v>2341</v>
      </c>
      <c r="D1133" s="61"/>
      <c r="E1133" s="45">
        <v>0.078</v>
      </c>
      <c r="F1133" s="45">
        <v>0.078</v>
      </c>
      <c r="G1133" s="66">
        <v>45980</v>
      </c>
      <c r="H1133" s="45" t="str">
        <f>IF(ISNUMBER(E1133),F1133-E1133,"N/A")</f>
        <v>N/A</v>
      </c>
      <c r="I1133" s="46" t="str">
        <f>IF(E1133&lt;&gt;"",IF(F1133=E1133,"No Change",IF(F1133&gt;E1133,"Increase","Decrease")),"New")</f>
        <v>Increase</v>
      </c>
      <c r="J1133" s="58" t="s">
        <v>122</v>
      </c>
      <c r="K1133" s="59" t="str">
        <f>IF(LEN(J1133)&gt;0,IF(OR(ISLOGICAL(J1133),J1133="TRUE"),"Yes",""),"")</f>
      </c>
      <c r="L1133" s="59"/>
      <c r="M1133" s="59"/>
      <c r="N1133" s="62" t="str">
        <f>IF(LEN(M1133)&gt;0,IF(OR(ISLOGICAL(M1133),M1133="TRUE"),"Yes",""),"")</f>
      </c>
      <c r="O1133" s="59"/>
      <c r="P1133" s="62" t="str">
        <f>IF(LEN(O1133)&gt;0,IF(OR(ISLOGICAL(O1133),O1133="TRUE"),"Yes",""),"")</f>
      </c>
      <c r="Q1133" s="62" t="s">
        <v>98</v>
      </c>
      <c r="R1133" s="63"/>
    </row>
    <row r="1134" spans="1:18" s="47" customFormat="1" ht="51">
      <c r="A1134" s="63" t="s">
        <v>2342</v>
      </c>
      <c r="B1134" s="63" t="s">
        <v>96</v>
      </c>
      <c r="C1134" s="63" t="s">
        <v>2343</v>
      </c>
      <c r="D1134" s="61"/>
      <c r="E1134" s="45">
        <v>0.078</v>
      </c>
      <c r="F1134" s="45">
        <v>0.078</v>
      </c>
      <c r="G1134" s="66">
        <v>45980</v>
      </c>
      <c r="H1134" s="45" t="str">
        <f>IF(ISNUMBER(E1134),F1134-E1134,"N/A")</f>
        <v>N/A</v>
      </c>
      <c r="I1134" s="46" t="str">
        <f>IF(E1134&lt;&gt;"",IF(F1134=E1134,"No Change",IF(F1134&gt;E1134,"Increase","Decrease")),"New")</f>
        <v>Increase</v>
      </c>
      <c r="J1134" s="58" t="s">
        <v>122</v>
      </c>
      <c r="K1134" s="59" t="str">
        <f>IF(LEN(J1134)&gt;0,IF(OR(ISLOGICAL(J1134),J1134="TRUE"),"Yes",""),"")</f>
      </c>
      <c r="L1134" s="59"/>
      <c r="M1134" s="59"/>
      <c r="N1134" s="62" t="str">
        <f>IF(LEN(M1134)&gt;0,IF(OR(ISLOGICAL(M1134),M1134="TRUE"),"Yes",""),"")</f>
      </c>
      <c r="O1134" s="59"/>
      <c r="P1134" s="62" t="str">
        <f>IF(LEN(O1134)&gt;0,IF(OR(ISLOGICAL(O1134),O1134="TRUE"),"Yes",""),"")</f>
      </c>
      <c r="Q1134" s="62" t="s">
        <v>98</v>
      </c>
      <c r="R1134" s="63"/>
    </row>
    <row r="1135" spans="1:18" s="47" customFormat="1" ht="51">
      <c r="A1135" s="63" t="s">
        <v>2344</v>
      </c>
      <c r="B1135" s="63" t="s">
        <v>96</v>
      </c>
      <c r="C1135" s="63" t="s">
        <v>2345</v>
      </c>
      <c r="D1135" s="61"/>
      <c r="E1135" s="45">
        <v>0.078</v>
      </c>
      <c r="F1135" s="45">
        <v>0.078</v>
      </c>
      <c r="G1135" s="66">
        <v>45980</v>
      </c>
      <c r="H1135" s="45" t="str">
        <f>IF(ISNUMBER(E1135),F1135-E1135,"N/A")</f>
        <v>N/A</v>
      </c>
      <c r="I1135" s="46" t="str">
        <f>IF(E1135&lt;&gt;"",IF(F1135=E1135,"No Change",IF(F1135&gt;E1135,"Increase","Decrease")),"New")</f>
        <v>Increase</v>
      </c>
      <c r="J1135" s="58" t="s">
        <v>122</v>
      </c>
      <c r="K1135" s="59" t="str">
        <f>IF(LEN(J1135)&gt;0,IF(OR(ISLOGICAL(J1135),J1135="TRUE"),"Yes",""),"")</f>
      </c>
      <c r="L1135" s="59"/>
      <c r="M1135" s="59"/>
      <c r="N1135" s="62" t="str">
        <f>IF(LEN(M1135)&gt;0,IF(OR(ISLOGICAL(M1135),M1135="TRUE"),"Yes",""),"")</f>
      </c>
      <c r="O1135" s="59"/>
      <c r="P1135" s="62" t="str">
        <f>IF(LEN(O1135)&gt;0,IF(OR(ISLOGICAL(O1135),O1135="TRUE"),"Yes",""),"")</f>
      </c>
      <c r="Q1135" s="62" t="s">
        <v>98</v>
      </c>
      <c r="R1135" s="63"/>
    </row>
    <row r="1136" spans="1:18" s="47" customFormat="1" ht="51">
      <c r="A1136" s="63" t="s">
        <v>2346</v>
      </c>
      <c r="B1136" s="63" t="s">
        <v>96</v>
      </c>
      <c r="C1136" s="63" t="s">
        <v>2347</v>
      </c>
      <c r="D1136" s="61"/>
      <c r="E1136" s="45">
        <v>0.155</v>
      </c>
      <c r="F1136" s="45">
        <v>0.155</v>
      </c>
      <c r="G1136" s="66">
        <v>46085</v>
      </c>
      <c r="H1136" s="45" t="str">
        <f>IF(ISNUMBER(E1136),F1136-E1136,"N/A")</f>
        <v>N/A</v>
      </c>
      <c r="I1136" s="46" t="str">
        <f>IF(E1136&lt;&gt;"",IF(F1136=E1136,"No Change",IF(F1136&gt;E1136,"Increase","Decrease")),"New")</f>
        <v>Increase</v>
      </c>
      <c r="J1136" s="58"/>
      <c r="K1136" s="59" t="str">
        <f>IF(LEN(J1136)&gt;0,IF(OR(ISLOGICAL(J1136),J1136="TRUE"),"Yes",""),"")</f>
      </c>
      <c r="L1136" s="59"/>
      <c r="M1136" s="59"/>
      <c r="N1136" s="62" t="str">
        <f>IF(LEN(M1136)&gt;0,IF(OR(ISLOGICAL(M1136),M1136="TRUE"),"Yes",""),"")</f>
      </c>
      <c r="O1136" s="59"/>
      <c r="P1136" s="62" t="str">
        <f>IF(LEN(O1136)&gt;0,IF(OR(ISLOGICAL(O1136),O1136="TRUE"),"Yes",""),"")</f>
      </c>
      <c r="Q1136" s="62" t="s">
        <v>98</v>
      </c>
      <c r="R1136" s="63"/>
    </row>
    <row r="1137" spans="1:18" s="47" customFormat="1" ht="51">
      <c r="A1137" s="63" t="s">
        <v>2348</v>
      </c>
      <c r="B1137" s="63" t="s">
        <v>96</v>
      </c>
      <c r="C1137" s="63" t="s">
        <v>2349</v>
      </c>
      <c r="D1137" s="61"/>
      <c r="E1137" s="45">
        <v>0.155</v>
      </c>
      <c r="F1137" s="45">
        <v>0.155</v>
      </c>
      <c r="G1137" s="66">
        <v>46082</v>
      </c>
      <c r="H1137" s="45" t="str">
        <f>IF(ISNUMBER(E1137),F1137-E1137,"N/A")</f>
        <v>N/A</v>
      </c>
      <c r="I1137" s="46" t="str">
        <f>IF(E1137&lt;&gt;"",IF(F1137=E1137,"No Change",IF(F1137&gt;E1137,"Increase","Decrease")),"New")</f>
        <v>Increase</v>
      </c>
      <c r="J1137" s="58"/>
      <c r="K1137" s="59" t="str">
        <f>IF(LEN(J1137)&gt;0,IF(OR(ISLOGICAL(J1137),J1137="TRUE"),"Yes",""),"")</f>
      </c>
      <c r="L1137" s="59"/>
      <c r="M1137" s="59"/>
      <c r="N1137" s="62" t="str">
        <f>IF(LEN(M1137)&gt;0,IF(OR(ISLOGICAL(M1137),M1137="TRUE"),"Yes",""),"")</f>
      </c>
      <c r="O1137" s="59"/>
      <c r="P1137" s="62" t="str">
        <f>IF(LEN(O1137)&gt;0,IF(OR(ISLOGICAL(O1137),O1137="TRUE"),"Yes",""),"")</f>
      </c>
      <c r="Q1137" s="62" t="s">
        <v>98</v>
      </c>
      <c r="R1137" s="63"/>
    </row>
    <row r="1138" spans="1:18" s="47" customFormat="1" ht="51">
      <c r="A1138" s="63" t="s">
        <v>2350</v>
      </c>
      <c r="B1138" s="63" t="s">
        <v>96</v>
      </c>
      <c r="C1138" s="63" t="s">
        <v>2351</v>
      </c>
      <c r="D1138" s="61"/>
      <c r="E1138" s="45">
        <v>0.1428</v>
      </c>
      <c r="F1138" s="45">
        <v>0.1428</v>
      </c>
      <c r="G1138" s="66">
        <v>46078</v>
      </c>
      <c r="H1138" s="45" t="str">
        <f>IF(ISNUMBER(E1138),F1138-E1138,"N/A")</f>
        <v>N/A</v>
      </c>
      <c r="I1138" s="46" t="str">
        <f>IF(E1138&lt;&gt;"",IF(F1138=E1138,"No Change",IF(F1138&gt;E1138,"Increase","Decrease")),"New")</f>
        <v>Increase</v>
      </c>
      <c r="J1138" s="58" t="s">
        <v>122</v>
      </c>
      <c r="K1138" s="59" t="str">
        <f>IF(LEN(J1138)&gt;0,IF(OR(ISLOGICAL(J1138),J1138="TRUE"),"Yes",""),"")</f>
      </c>
      <c r="L1138" s="59"/>
      <c r="M1138" s="59"/>
      <c r="N1138" s="62" t="str">
        <f>IF(LEN(M1138)&gt;0,IF(OR(ISLOGICAL(M1138),M1138="TRUE"),"Yes",""),"")</f>
      </c>
      <c r="O1138" s="59"/>
      <c r="P1138" s="62" t="str">
        <f>IF(LEN(O1138)&gt;0,IF(OR(ISLOGICAL(O1138),O1138="TRUE"),"Yes",""),"")</f>
      </c>
      <c r="Q1138" s="62" t="s">
        <v>98</v>
      </c>
      <c r="R1138" s="63"/>
    </row>
    <row r="1139" spans="1:18" s="47" customFormat="1" ht="51">
      <c r="A1139" s="63" t="s">
        <v>2352</v>
      </c>
      <c r="B1139" s="63" t="s">
        <v>96</v>
      </c>
      <c r="C1139" s="63" t="s">
        <v>2353</v>
      </c>
      <c r="D1139" s="61"/>
      <c r="E1139" s="45">
        <v>0.155</v>
      </c>
      <c r="F1139" s="45">
        <v>0.155</v>
      </c>
      <c r="G1139" s="66">
        <v>46015</v>
      </c>
      <c r="H1139" s="45" t="str">
        <f>IF(ISNUMBER(E1139),F1139-E1139,"N/A")</f>
        <v>N/A</v>
      </c>
      <c r="I1139" s="46" t="str">
        <f>IF(E1139&lt;&gt;"",IF(F1139=E1139,"No Change",IF(F1139&gt;E1139,"Increase","Decrease")),"New")</f>
        <v>Increase</v>
      </c>
      <c r="J1139" s="58"/>
      <c r="K1139" s="59" t="str">
        <f>IF(LEN(J1139)&gt;0,IF(OR(ISLOGICAL(J1139),J1139="TRUE"),"Yes",""),"")</f>
      </c>
      <c r="L1139" s="59"/>
      <c r="M1139" s="59"/>
      <c r="N1139" s="62" t="str">
        <f>IF(LEN(M1139)&gt;0,IF(OR(ISLOGICAL(M1139),M1139="TRUE"),"Yes",""),"")</f>
      </c>
      <c r="O1139" s="59"/>
      <c r="P1139" s="62" t="str">
        <f>IF(LEN(O1139)&gt;0,IF(OR(ISLOGICAL(O1139),O1139="TRUE"),"Yes",""),"")</f>
      </c>
      <c r="Q1139" s="62" t="s">
        <v>98</v>
      </c>
      <c r="R1139" s="63"/>
    </row>
    <row r="1140" spans="1:18" s="47" customFormat="1" ht="51">
      <c r="A1140" s="63" t="s">
        <v>2354</v>
      </c>
      <c r="B1140" s="63" t="s">
        <v>96</v>
      </c>
      <c r="C1140" s="63" t="s">
        <v>2355</v>
      </c>
      <c r="D1140" s="61"/>
      <c r="E1140" s="45">
        <v>0.142</v>
      </c>
      <c r="F1140" s="45">
        <v>0.142</v>
      </c>
      <c r="G1140" s="66">
        <v>46085</v>
      </c>
      <c r="H1140" s="45" t="str">
        <f>IF(ISNUMBER(E1140),F1140-E1140,"N/A")</f>
        <v>N/A</v>
      </c>
      <c r="I1140" s="46" t="str">
        <f>IF(E1140&lt;&gt;"",IF(F1140=E1140,"No Change",IF(F1140&gt;E1140,"Increase","Decrease")),"New")</f>
        <v>Increase</v>
      </c>
      <c r="J1140" s="58" t="s">
        <v>122</v>
      </c>
      <c r="K1140" s="59" t="str">
        <f>IF(LEN(J1140)&gt;0,IF(OR(ISLOGICAL(J1140),J1140="TRUE"),"Yes",""),"")</f>
      </c>
      <c r="L1140" s="59"/>
      <c r="M1140" s="59"/>
      <c r="N1140" s="62" t="str">
        <f>IF(LEN(M1140)&gt;0,IF(OR(ISLOGICAL(M1140),M1140="TRUE"),"Yes",""),"")</f>
      </c>
      <c r="O1140" s="59"/>
      <c r="P1140" s="62" t="str">
        <f>IF(LEN(O1140)&gt;0,IF(OR(ISLOGICAL(O1140),O1140="TRUE"),"Yes",""),"")</f>
      </c>
      <c r="Q1140" s="62" t="s">
        <v>98</v>
      </c>
      <c r="R1140" s="63"/>
    </row>
    <row r="1141" spans="1:18" s="47" customFormat="1" ht="51">
      <c r="A1141" s="63" t="s">
        <v>2356</v>
      </c>
      <c r="B1141" s="63" t="s">
        <v>96</v>
      </c>
      <c r="C1141" s="63" t="s">
        <v>2357</v>
      </c>
      <c r="D1141" s="61"/>
      <c r="E1141" s="45">
        <v>0.142</v>
      </c>
      <c r="F1141" s="45">
        <v>0.142</v>
      </c>
      <c r="G1141" s="66">
        <v>46078</v>
      </c>
      <c r="H1141" s="45" t="str">
        <f>IF(ISNUMBER(E1141),F1141-E1141,"N/A")</f>
        <v>N/A</v>
      </c>
      <c r="I1141" s="46" t="str">
        <f>IF(E1141&lt;&gt;"",IF(F1141=E1141,"No Change",IF(F1141&gt;E1141,"Increase","Decrease")),"New")</f>
        <v>Increase</v>
      </c>
      <c r="J1141" s="58" t="s">
        <v>122</v>
      </c>
      <c r="K1141" s="59" t="str">
        <f>IF(LEN(J1141)&gt;0,IF(OR(ISLOGICAL(J1141),J1141="TRUE"),"Yes",""),"")</f>
      </c>
      <c r="L1141" s="59"/>
      <c r="M1141" s="59"/>
      <c r="N1141" s="62" t="str">
        <f>IF(LEN(M1141)&gt;0,IF(OR(ISLOGICAL(M1141),M1141="TRUE"),"Yes",""),"")</f>
      </c>
      <c r="O1141" s="59"/>
      <c r="P1141" s="62" t="str">
        <f>IF(LEN(O1141)&gt;0,IF(OR(ISLOGICAL(O1141),O1141="TRUE"),"Yes",""),"")</f>
      </c>
      <c r="Q1141" s="62" t="s">
        <v>98</v>
      </c>
      <c r="R1141" s="63"/>
    </row>
    <row r="1142" spans="1:18" s="47" customFormat="1" ht="51">
      <c r="A1142" s="63" t="s">
        <v>2358</v>
      </c>
      <c r="B1142" s="63" t="s">
        <v>96</v>
      </c>
      <c r="C1142" s="63" t="s">
        <v>2359</v>
      </c>
      <c r="D1142" s="61"/>
      <c r="E1142" s="45">
        <v>0.155</v>
      </c>
      <c r="F1142" s="45">
        <v>0.155</v>
      </c>
      <c r="G1142" s="66">
        <v>46082</v>
      </c>
      <c r="H1142" s="45" t="str">
        <f>IF(ISNUMBER(E1142),F1142-E1142,"N/A")</f>
        <v>N/A</v>
      </c>
      <c r="I1142" s="46" t="str">
        <f>IF(E1142&lt;&gt;"",IF(F1142=E1142,"No Change",IF(F1142&gt;E1142,"Increase","Decrease")),"New")</f>
        <v>Increase</v>
      </c>
      <c r="J1142" s="58"/>
      <c r="K1142" s="59" t="str">
        <f>IF(LEN(J1142)&gt;0,IF(OR(ISLOGICAL(J1142),J1142="TRUE"),"Yes",""),"")</f>
      </c>
      <c r="L1142" s="59"/>
      <c r="M1142" s="59"/>
      <c r="N1142" s="62" t="str">
        <f>IF(LEN(M1142)&gt;0,IF(OR(ISLOGICAL(M1142),M1142="TRUE"),"Yes",""),"")</f>
      </c>
      <c r="O1142" s="59"/>
      <c r="P1142" s="62" t="str">
        <f>IF(LEN(O1142)&gt;0,IF(OR(ISLOGICAL(O1142),O1142="TRUE"),"Yes",""),"")</f>
      </c>
      <c r="Q1142" s="62" t="s">
        <v>98</v>
      </c>
      <c r="R1142" s="63"/>
    </row>
    <row r="1143" spans="1:18" s="47" customFormat="1" ht="51">
      <c r="A1143" s="63" t="s">
        <v>2360</v>
      </c>
      <c r="B1143" s="63" t="s">
        <v>96</v>
      </c>
      <c r="C1143" s="63" t="s">
        <v>2361</v>
      </c>
      <c r="D1143" s="61"/>
      <c r="E1143" s="45">
        <v>0.127</v>
      </c>
      <c r="F1143" s="45">
        <v>0.127</v>
      </c>
      <c r="G1143" s="66">
        <v>46078</v>
      </c>
      <c r="H1143" s="45" t="str">
        <f>IF(ISNUMBER(E1143),F1143-E1143,"N/A")</f>
        <v>N/A</v>
      </c>
      <c r="I1143" s="46" t="str">
        <f>IF(E1143&lt;&gt;"",IF(F1143=E1143,"No Change",IF(F1143&gt;E1143,"Increase","Decrease")),"New")</f>
        <v>Increase</v>
      </c>
      <c r="J1143" s="58" t="s">
        <v>122</v>
      </c>
      <c r="K1143" s="59" t="str">
        <f>IF(LEN(J1143)&gt;0,IF(OR(ISLOGICAL(J1143),J1143="TRUE"),"Yes",""),"")</f>
      </c>
      <c r="L1143" s="59"/>
      <c r="M1143" s="59"/>
      <c r="N1143" s="62" t="str">
        <f>IF(LEN(M1143)&gt;0,IF(OR(ISLOGICAL(M1143),M1143="TRUE"),"Yes",""),"")</f>
      </c>
      <c r="O1143" s="59"/>
      <c r="P1143" s="62" t="str">
        <f>IF(LEN(O1143)&gt;0,IF(OR(ISLOGICAL(O1143),O1143="TRUE"),"Yes",""),"")</f>
      </c>
      <c r="Q1143" s="62" t="s">
        <v>98</v>
      </c>
      <c r="R1143" s="63"/>
    </row>
    <row r="1144" spans="1:18" s="47" customFormat="1" ht="51">
      <c r="A1144" s="63" t="s">
        <v>2362</v>
      </c>
      <c r="B1144" s="63" t="s">
        <v>96</v>
      </c>
      <c r="C1144" s="63" t="s">
        <v>2363</v>
      </c>
      <c r="D1144" s="61"/>
      <c r="E1144" s="45">
        <v>0.175</v>
      </c>
      <c r="F1144" s="45">
        <v>0.185</v>
      </c>
      <c r="G1144" s="66">
        <v>46148</v>
      </c>
      <c r="H1144" s="45" t="str">
        <f>IF(ISNUMBER(E1144),F1144-E1144,"N/A")</f>
        <v>N/A</v>
      </c>
      <c r="I1144" s="46" t="str">
        <f>IF(E1144&lt;&gt;"",IF(F1144=E1144,"No Change",IF(F1144&gt;E1144,"Increase","Decrease")),"New")</f>
        <v>Increase</v>
      </c>
      <c r="J1144" s="58"/>
      <c r="K1144" s="59" t="str">
        <f>IF(LEN(J1144)&gt;0,IF(OR(ISLOGICAL(J1144),J1144="TRUE"),"Yes",""),"")</f>
      </c>
      <c r="L1144" s="59"/>
      <c r="M1144" s="59"/>
      <c r="N1144" s="62" t="str">
        <f>IF(LEN(M1144)&gt;0,IF(OR(ISLOGICAL(M1144),M1144="TRUE"),"Yes",""),"")</f>
      </c>
      <c r="O1144" s="59"/>
      <c r="P1144" s="62" t="str">
        <f>IF(LEN(O1144)&gt;0,IF(OR(ISLOGICAL(O1144),O1144="TRUE"),"Yes",""),"")</f>
      </c>
      <c r="Q1144" s="62" t="s">
        <v>98</v>
      </c>
      <c r="R1144" s="63"/>
    </row>
    <row r="1145" spans="1:18" s="47" customFormat="1" ht="51">
      <c r="A1145" s="63" t="s">
        <v>2364</v>
      </c>
      <c r="B1145" s="63" t="s">
        <v>96</v>
      </c>
      <c r="C1145" s="63" t="s">
        <v>2365</v>
      </c>
      <c r="D1145" s="61"/>
      <c r="E1145" s="45">
        <v>0.175</v>
      </c>
      <c r="F1145" s="45">
        <v>0.185</v>
      </c>
      <c r="G1145" s="66">
        <v>46148</v>
      </c>
      <c r="H1145" s="45" t="str">
        <f>IF(ISNUMBER(E1145),F1145-E1145,"N/A")</f>
        <v>N/A</v>
      </c>
      <c r="I1145" s="46" t="str">
        <f>IF(E1145&lt;&gt;"",IF(F1145=E1145,"No Change",IF(F1145&gt;E1145,"Increase","Decrease")),"New")</f>
        <v>Increase</v>
      </c>
      <c r="J1145" s="58"/>
      <c r="K1145" s="59" t="str">
        <f>IF(LEN(J1145)&gt;0,IF(OR(ISLOGICAL(J1145),J1145="TRUE"),"Yes",""),"")</f>
      </c>
      <c r="L1145" s="59"/>
      <c r="M1145" s="59"/>
      <c r="N1145" s="62" t="str">
        <f>IF(LEN(M1145)&gt;0,IF(OR(ISLOGICAL(M1145),M1145="TRUE"),"Yes",""),"")</f>
      </c>
      <c r="O1145" s="59"/>
      <c r="P1145" s="62" t="str">
        <f>IF(LEN(O1145)&gt;0,IF(OR(ISLOGICAL(O1145),O1145="TRUE"),"Yes",""),"")</f>
      </c>
      <c r="Q1145" s="62" t="s">
        <v>98</v>
      </c>
      <c r="R1145" s="63"/>
    </row>
    <row r="1146" spans="1:18" s="47" customFormat="1" ht="51">
      <c r="A1146" s="63" t="s">
        <v>2366</v>
      </c>
      <c r="B1146" s="63" t="s">
        <v>96</v>
      </c>
      <c r="C1146" s="63" t="s">
        <v>2367</v>
      </c>
      <c r="D1146" s="61"/>
      <c r="E1146" s="45">
        <v>0.175</v>
      </c>
      <c r="F1146" s="45">
        <v>0.185</v>
      </c>
      <c r="G1146" s="66">
        <v>46148</v>
      </c>
      <c r="H1146" s="45" t="str">
        <f>IF(ISNUMBER(E1146),F1146-E1146,"N/A")</f>
        <v>N/A</v>
      </c>
      <c r="I1146" s="46" t="str">
        <f>IF(E1146&lt;&gt;"",IF(F1146=E1146,"No Change",IF(F1146&gt;E1146,"Increase","Decrease")),"New")</f>
        <v>Increase</v>
      </c>
      <c r="J1146" s="58" t="s">
        <v>122</v>
      </c>
      <c r="K1146" s="59" t="str">
        <f>IF(LEN(J1146)&gt;0,IF(OR(ISLOGICAL(J1146),J1146="TRUE"),"Yes",""),"")</f>
      </c>
      <c r="L1146" s="59"/>
      <c r="M1146" s="59"/>
      <c r="N1146" s="62" t="str">
        <f>IF(LEN(M1146)&gt;0,IF(OR(ISLOGICAL(M1146),M1146="TRUE"),"Yes",""),"")</f>
      </c>
      <c r="O1146" s="59"/>
      <c r="P1146" s="62" t="str">
        <f>IF(LEN(O1146)&gt;0,IF(OR(ISLOGICAL(O1146),O1146="TRUE"),"Yes",""),"")</f>
      </c>
      <c r="Q1146" s="62" t="s">
        <v>98</v>
      </c>
      <c r="R1146" s="63"/>
    </row>
    <row r="1147" spans="1:18" s="47" customFormat="1" ht="51">
      <c r="A1147" s="63" t="s">
        <v>2368</v>
      </c>
      <c r="B1147" s="63" t="s">
        <v>96</v>
      </c>
      <c r="C1147" s="63" t="s">
        <v>2369</v>
      </c>
      <c r="D1147" s="61"/>
      <c r="E1147" s="45">
        <v>0.175</v>
      </c>
      <c r="F1147" s="45">
        <v>0.185</v>
      </c>
      <c r="G1147" s="66">
        <v>46148</v>
      </c>
      <c r="H1147" s="45" t="str">
        <f>IF(ISNUMBER(E1147),F1147-E1147,"N/A")</f>
        <v>N/A</v>
      </c>
      <c r="I1147" s="46" t="str">
        <f>IF(E1147&lt;&gt;"",IF(F1147=E1147,"No Change",IF(F1147&gt;E1147,"Increase","Decrease")),"New")</f>
        <v>Increase</v>
      </c>
      <c r="J1147" s="58" t="s">
        <v>122</v>
      </c>
      <c r="K1147" s="59" t="str">
        <f>IF(LEN(J1147)&gt;0,IF(OR(ISLOGICAL(J1147),J1147="TRUE"),"Yes",""),"")</f>
      </c>
      <c r="L1147" s="59"/>
      <c r="M1147" s="59"/>
      <c r="N1147" s="62" t="str">
        <f>IF(LEN(M1147)&gt;0,IF(OR(ISLOGICAL(M1147),M1147="TRUE"),"Yes",""),"")</f>
      </c>
      <c r="O1147" s="59"/>
      <c r="P1147" s="62" t="str">
        <f>IF(LEN(O1147)&gt;0,IF(OR(ISLOGICAL(O1147),O1147="TRUE"),"Yes",""),"")</f>
      </c>
      <c r="Q1147" s="62" t="s">
        <v>98</v>
      </c>
      <c r="R1147" s="63"/>
    </row>
    <row r="1148" spans="1:18" s="47" customFormat="1" ht="51">
      <c r="A1148" s="63" t="s">
        <v>2370</v>
      </c>
      <c r="B1148" s="63" t="s">
        <v>96</v>
      </c>
      <c r="C1148" s="63" t="s">
        <v>2371</v>
      </c>
      <c r="D1148" s="61"/>
      <c r="E1148" s="45">
        <v>0.175</v>
      </c>
      <c r="F1148" s="45">
        <v>0.185</v>
      </c>
      <c r="G1148" s="66">
        <v>46148</v>
      </c>
      <c r="H1148" s="45" t="str">
        <f>IF(ISNUMBER(E1148),F1148-E1148,"N/A")</f>
        <v>N/A</v>
      </c>
      <c r="I1148" s="46" t="str">
        <f>IF(E1148&lt;&gt;"",IF(F1148=E1148,"No Change",IF(F1148&gt;E1148,"Increase","Decrease")),"New")</f>
        <v>Increase</v>
      </c>
      <c r="J1148" s="58"/>
      <c r="K1148" s="59" t="str">
        <f>IF(LEN(J1148)&gt;0,IF(OR(ISLOGICAL(J1148),J1148="TRUE"),"Yes",""),"")</f>
      </c>
      <c r="L1148" s="59"/>
      <c r="M1148" s="59"/>
      <c r="N1148" s="62" t="str">
        <f>IF(LEN(M1148)&gt;0,IF(OR(ISLOGICAL(M1148),M1148="TRUE"),"Yes",""),"")</f>
      </c>
      <c r="O1148" s="59"/>
      <c r="P1148" s="62" t="str">
        <f>IF(LEN(O1148)&gt;0,IF(OR(ISLOGICAL(O1148),O1148="TRUE"),"Yes",""),"")</f>
      </c>
      <c r="Q1148" s="62" t="s">
        <v>98</v>
      </c>
      <c r="R1148" s="63"/>
    </row>
    <row r="1149" spans="1:18" s="47" customFormat="1" ht="51">
      <c r="A1149" s="63" t="s">
        <v>2372</v>
      </c>
      <c r="B1149" s="63" t="s">
        <v>96</v>
      </c>
      <c r="C1149" s="63" t="s">
        <v>2373</v>
      </c>
      <c r="D1149" s="61"/>
      <c r="E1149" s="45">
        <v>0.175</v>
      </c>
      <c r="F1149" s="45">
        <v>0.185</v>
      </c>
      <c r="G1149" s="66">
        <v>46148</v>
      </c>
      <c r="H1149" s="45" t="str">
        <f>IF(ISNUMBER(E1149),F1149-E1149,"N/A")</f>
        <v>N/A</v>
      </c>
      <c r="I1149" s="46" t="str">
        <f>IF(E1149&lt;&gt;"",IF(F1149=E1149,"No Change",IF(F1149&gt;E1149,"Increase","Decrease")),"New")</f>
        <v>Increase</v>
      </c>
      <c r="J1149" s="58" t="s">
        <v>122</v>
      </c>
      <c r="K1149" s="59" t="str">
        <f>IF(LEN(J1149)&gt;0,IF(OR(ISLOGICAL(J1149),J1149="TRUE"),"Yes",""),"")</f>
      </c>
      <c r="L1149" s="59"/>
      <c r="M1149" s="59"/>
      <c r="N1149" s="62" t="str">
        <f>IF(LEN(M1149)&gt;0,IF(OR(ISLOGICAL(M1149),M1149="TRUE"),"Yes",""),"")</f>
      </c>
      <c r="O1149" s="59"/>
      <c r="P1149" s="62" t="str">
        <f>IF(LEN(O1149)&gt;0,IF(OR(ISLOGICAL(O1149),O1149="TRUE"),"Yes",""),"")</f>
      </c>
      <c r="Q1149" s="62" t="s">
        <v>98</v>
      </c>
      <c r="R1149" s="63"/>
    </row>
    <row r="1150" spans="1:18" s="47" customFormat="1" ht="51">
      <c r="A1150" s="63" t="s">
        <v>2374</v>
      </c>
      <c r="B1150" s="63" t="s">
        <v>96</v>
      </c>
      <c r="C1150" s="63" t="s">
        <v>2375</v>
      </c>
      <c r="D1150" s="61"/>
      <c r="E1150" s="45">
        <v>0.175</v>
      </c>
      <c r="F1150" s="45">
        <v>0.185</v>
      </c>
      <c r="G1150" s="66">
        <v>46148</v>
      </c>
      <c r="H1150" s="45" t="str">
        <f>IF(ISNUMBER(E1150),F1150-E1150,"N/A")</f>
        <v>N/A</v>
      </c>
      <c r="I1150" s="46" t="str">
        <f>IF(E1150&lt;&gt;"",IF(F1150=E1150,"No Change",IF(F1150&gt;E1150,"Increase","Decrease")),"New")</f>
        <v>Increase</v>
      </c>
      <c r="J1150" s="58"/>
      <c r="K1150" s="59" t="str">
        <f>IF(LEN(J1150)&gt;0,IF(OR(ISLOGICAL(J1150),J1150="TRUE"),"Yes",""),"")</f>
      </c>
      <c r="L1150" s="59"/>
      <c r="M1150" s="59"/>
      <c r="N1150" s="62" t="str">
        <f>IF(LEN(M1150)&gt;0,IF(OR(ISLOGICAL(M1150),M1150="TRUE"),"Yes",""),"")</f>
      </c>
      <c r="O1150" s="59"/>
      <c r="P1150" s="62" t="str">
        <f>IF(LEN(O1150)&gt;0,IF(OR(ISLOGICAL(O1150),O1150="TRUE"),"Yes",""),"")</f>
      </c>
      <c r="Q1150" s="62" t="s">
        <v>98</v>
      </c>
      <c r="R1150" s="63"/>
    </row>
    <row r="1151" spans="1:18" s="47" customFormat="1" ht="51">
      <c r="A1151" s="63" t="s">
        <v>2376</v>
      </c>
      <c r="B1151" s="63" t="s">
        <v>96</v>
      </c>
      <c r="C1151" s="63" t="s">
        <v>2377</v>
      </c>
      <c r="D1151" s="61"/>
      <c r="E1151" s="45">
        <v>0.175</v>
      </c>
      <c r="F1151" s="45">
        <v>0.185</v>
      </c>
      <c r="G1151" s="66">
        <v>46148</v>
      </c>
      <c r="H1151" s="45" t="str">
        <f>IF(ISNUMBER(E1151),F1151-E1151,"N/A")</f>
        <v>N/A</v>
      </c>
      <c r="I1151" s="46" t="str">
        <f>IF(E1151&lt;&gt;"",IF(F1151=E1151,"No Change",IF(F1151&gt;E1151,"Increase","Decrease")),"New")</f>
        <v>Increase</v>
      </c>
      <c r="J1151" s="58" t="s">
        <v>122</v>
      </c>
      <c r="K1151" s="59" t="str">
        <f>IF(LEN(J1151)&gt;0,IF(OR(ISLOGICAL(J1151),J1151="TRUE"),"Yes",""),"")</f>
      </c>
      <c r="L1151" s="59"/>
      <c r="M1151" s="59"/>
      <c r="N1151" s="62" t="str">
        <f>IF(LEN(M1151)&gt;0,IF(OR(ISLOGICAL(M1151),M1151="TRUE"),"Yes",""),"")</f>
      </c>
      <c r="O1151" s="59"/>
      <c r="P1151" s="62" t="str">
        <f>IF(LEN(O1151)&gt;0,IF(OR(ISLOGICAL(O1151),O1151="TRUE"),"Yes",""),"")</f>
      </c>
      <c r="Q1151" s="62" t="s">
        <v>98</v>
      </c>
      <c r="R1151" s="63"/>
    </row>
    <row r="1152" spans="1:18" s="47" customFormat="1" ht="51">
      <c r="A1152" s="63" t="s">
        <v>2378</v>
      </c>
      <c r="B1152" s="63" t="s">
        <v>96</v>
      </c>
      <c r="C1152" s="63" t="s">
        <v>2379</v>
      </c>
      <c r="D1152" s="61"/>
      <c r="E1152" s="45">
        <v>0.175</v>
      </c>
      <c r="F1152" s="45">
        <v>0.185</v>
      </c>
      <c r="G1152" s="66">
        <v>46148</v>
      </c>
      <c r="H1152" s="45" t="str">
        <f>IF(ISNUMBER(E1152),F1152-E1152,"N/A")</f>
        <v>N/A</v>
      </c>
      <c r="I1152" s="46" t="str">
        <f>IF(E1152&lt;&gt;"",IF(F1152=E1152,"No Change",IF(F1152&gt;E1152,"Increase","Decrease")),"New")</f>
        <v>Increase</v>
      </c>
      <c r="J1152" s="58"/>
      <c r="K1152" s="59" t="str">
        <f>IF(LEN(J1152)&gt;0,IF(OR(ISLOGICAL(J1152),J1152="TRUE"),"Yes",""),"")</f>
      </c>
      <c r="L1152" s="59"/>
      <c r="M1152" s="59"/>
      <c r="N1152" s="62" t="str">
        <f>IF(LEN(M1152)&gt;0,IF(OR(ISLOGICAL(M1152),M1152="TRUE"),"Yes",""),"")</f>
      </c>
      <c r="O1152" s="59"/>
      <c r="P1152" s="62" t="str">
        <f>IF(LEN(O1152)&gt;0,IF(OR(ISLOGICAL(O1152),O1152="TRUE"),"Yes",""),"")</f>
      </c>
      <c r="Q1152" s="62" t="s">
        <v>98</v>
      </c>
      <c r="R1152" s="63"/>
    </row>
    <row r="1153" spans="1:18" s="47" customFormat="1" ht="51">
      <c r="A1153" s="63" t="s">
        <v>2380</v>
      </c>
      <c r="B1153" s="63" t="s">
        <v>96</v>
      </c>
      <c r="C1153" s="63" t="s">
        <v>2381</v>
      </c>
      <c r="D1153" s="61"/>
      <c r="E1153" s="45">
        <v>0.175</v>
      </c>
      <c r="F1153" s="45">
        <v>0.185</v>
      </c>
      <c r="G1153" s="66">
        <v>46148</v>
      </c>
      <c r="H1153" s="45" t="str">
        <f>IF(ISNUMBER(E1153),F1153-E1153,"N/A")</f>
        <v>N/A</v>
      </c>
      <c r="I1153" s="46" t="str">
        <f>IF(E1153&lt;&gt;"",IF(F1153=E1153,"No Change",IF(F1153&gt;E1153,"Increase","Decrease")),"New")</f>
        <v>Increase</v>
      </c>
      <c r="J1153" s="58"/>
      <c r="K1153" s="59" t="str">
        <f>IF(LEN(J1153)&gt;0,IF(OR(ISLOGICAL(J1153),J1153="TRUE"),"Yes",""),"")</f>
      </c>
      <c r="L1153" s="59"/>
      <c r="M1153" s="59"/>
      <c r="N1153" s="62" t="str">
        <f>IF(LEN(M1153)&gt;0,IF(OR(ISLOGICAL(M1153),M1153="TRUE"),"Yes",""),"")</f>
      </c>
      <c r="O1153" s="59"/>
      <c r="P1153" s="62" t="str">
        <f>IF(LEN(O1153)&gt;0,IF(OR(ISLOGICAL(O1153),O1153="TRUE"),"Yes",""),"")</f>
      </c>
      <c r="Q1153" s="62" t="s">
        <v>98</v>
      </c>
      <c r="R1153" s="63"/>
    </row>
    <row r="1154" spans="1:18" s="47" customFormat="1" ht="51">
      <c r="A1154" s="63" t="s">
        <v>2382</v>
      </c>
      <c r="B1154" s="63" t="s">
        <v>96</v>
      </c>
      <c r="C1154" s="63" t="s">
        <v>2383</v>
      </c>
      <c r="D1154" s="61"/>
      <c r="E1154" s="45">
        <v>0.175</v>
      </c>
      <c r="F1154" s="45">
        <v>0.185</v>
      </c>
      <c r="G1154" s="66">
        <v>46148</v>
      </c>
      <c r="H1154" s="45" t="str">
        <f>IF(ISNUMBER(E1154),F1154-E1154,"N/A")</f>
        <v>N/A</v>
      </c>
      <c r="I1154" s="46" t="str">
        <f>IF(E1154&lt;&gt;"",IF(F1154=E1154,"No Change",IF(F1154&gt;E1154,"Increase","Decrease")),"New")</f>
        <v>Increase</v>
      </c>
      <c r="J1154" s="58"/>
      <c r="K1154" s="59" t="str">
        <f>IF(LEN(J1154)&gt;0,IF(OR(ISLOGICAL(J1154),J1154="TRUE"),"Yes",""),"")</f>
      </c>
      <c r="L1154" s="59"/>
      <c r="M1154" s="59"/>
      <c r="N1154" s="62" t="str">
        <f>IF(LEN(M1154)&gt;0,IF(OR(ISLOGICAL(M1154),M1154="TRUE"),"Yes",""),"")</f>
      </c>
      <c r="O1154" s="59"/>
      <c r="P1154" s="62" t="str">
        <f>IF(LEN(O1154)&gt;0,IF(OR(ISLOGICAL(O1154),O1154="TRUE"),"Yes",""),"")</f>
      </c>
      <c r="Q1154" s="62" t="s">
        <v>98</v>
      </c>
      <c r="R1154" s="63"/>
    </row>
    <row r="1155" spans="1:18" s="47" customFormat="1" ht="51">
      <c r="A1155" s="63" t="s">
        <v>2384</v>
      </c>
      <c r="B1155" s="63" t="s">
        <v>96</v>
      </c>
      <c r="C1155" s="63" t="s">
        <v>2385</v>
      </c>
      <c r="D1155" s="61"/>
      <c r="E1155" s="45">
        <v>0.0249</v>
      </c>
      <c r="F1155" s="45">
        <v>0.0249</v>
      </c>
      <c r="G1155" s="66">
        <v>45474</v>
      </c>
      <c r="H1155" s="45" t="str">
        <f>IF(ISNUMBER(E1155),F1155-E1155,"N/A")</f>
        <v>N/A</v>
      </c>
      <c r="I1155" s="46" t="str">
        <f>IF(E1155&lt;&gt;"",IF(F1155=E1155,"No Change",IF(F1155&gt;E1155,"Increase","Decrease")),"New")</f>
        <v>Increase</v>
      </c>
      <c r="J1155" s="58"/>
      <c r="K1155" s="59" t="str">
        <f>IF(LEN(J1155)&gt;0,IF(OR(ISLOGICAL(J1155),J1155="TRUE"),"Yes",""),"")</f>
      </c>
      <c r="L1155" s="59"/>
      <c r="M1155" s="59"/>
      <c r="N1155" s="62" t="str">
        <f>IF(LEN(M1155)&gt;0,IF(OR(ISLOGICAL(M1155),M1155="TRUE"),"Yes",""),"")</f>
      </c>
      <c r="O1155" s="59"/>
      <c r="P1155" s="62" t="str">
        <f>IF(LEN(O1155)&gt;0,IF(OR(ISLOGICAL(O1155),O1155="TRUE"),"Yes",""),"")</f>
      </c>
      <c r="Q1155" s="62" t="s">
        <v>104</v>
      </c>
      <c r="R1155" s="63"/>
    </row>
    <row r="1156" spans="1:18" s="47" customFormat="1" ht="51">
      <c r="A1156" s="63" t="s">
        <v>2386</v>
      </c>
      <c r="B1156" s="63" t="s">
        <v>96</v>
      </c>
      <c r="C1156" s="63" t="s">
        <v>2387</v>
      </c>
      <c r="D1156" s="61"/>
      <c r="E1156" s="45">
        <v>0.0249</v>
      </c>
      <c r="F1156" s="45">
        <v>0.0249</v>
      </c>
      <c r="G1156" s="66">
        <v>45597</v>
      </c>
      <c r="H1156" s="45" t="str">
        <f>IF(ISNUMBER(E1156),F1156-E1156,"N/A")</f>
        <v>N/A</v>
      </c>
      <c r="I1156" s="46" t="str">
        <f>IF(E1156&lt;&gt;"",IF(F1156=E1156,"No Change",IF(F1156&gt;E1156,"Increase","Decrease")),"New")</f>
        <v>Increase</v>
      </c>
      <c r="J1156" s="58"/>
      <c r="K1156" s="59" t="str">
        <f>IF(LEN(J1156)&gt;0,IF(OR(ISLOGICAL(J1156),J1156="TRUE"),"Yes",""),"")</f>
      </c>
      <c r="L1156" s="59"/>
      <c r="M1156" s="59"/>
      <c r="N1156" s="62" t="str">
        <f>IF(LEN(M1156)&gt;0,IF(OR(ISLOGICAL(M1156),M1156="TRUE"),"Yes",""),"")</f>
      </c>
      <c r="O1156" s="59"/>
      <c r="P1156" s="62" t="str">
        <f>IF(LEN(O1156)&gt;0,IF(OR(ISLOGICAL(O1156),O1156="TRUE"),"Yes",""),"")</f>
      </c>
      <c r="Q1156" s="62" t="s">
        <v>104</v>
      </c>
      <c r="R1156" s="63"/>
    </row>
    <row r="1157" spans="1:18" s="47" customFormat="1" ht="51">
      <c r="A1157" s="63" t="s">
        <v>2388</v>
      </c>
      <c r="B1157" s="63" t="s">
        <v>96</v>
      </c>
      <c r="C1157" s="63" t="s">
        <v>2389</v>
      </c>
      <c r="D1157" s="61"/>
      <c r="E1157" s="45">
        <v>0.0249</v>
      </c>
      <c r="F1157" s="45">
        <v>0.0249</v>
      </c>
      <c r="G1157" s="66">
        <v>45566</v>
      </c>
      <c r="H1157" s="45" t="str">
        <f>IF(ISNUMBER(E1157),F1157-E1157,"N/A")</f>
        <v>N/A</v>
      </c>
      <c r="I1157" s="46" t="str">
        <f>IF(E1157&lt;&gt;"",IF(F1157=E1157,"No Change",IF(F1157&gt;E1157,"Increase","Decrease")),"New")</f>
        <v>Increase</v>
      </c>
      <c r="J1157" s="58" t="s">
        <v>122</v>
      </c>
      <c r="K1157" s="59" t="str">
        <f>IF(LEN(J1157)&gt;0,IF(OR(ISLOGICAL(J1157),J1157="TRUE"),"Yes",""),"")</f>
      </c>
      <c r="L1157" s="59"/>
      <c r="M1157" s="59"/>
      <c r="N1157" s="62" t="str">
        <f>IF(LEN(M1157)&gt;0,IF(OR(ISLOGICAL(M1157),M1157="TRUE"),"Yes",""),"")</f>
      </c>
      <c r="O1157" s="59"/>
      <c r="P1157" s="62" t="str">
        <f>IF(LEN(O1157)&gt;0,IF(OR(ISLOGICAL(O1157),O1157="TRUE"),"Yes",""),"")</f>
      </c>
      <c r="Q1157" s="62" t="s">
        <v>104</v>
      </c>
      <c r="R1157" s="63"/>
    </row>
    <row r="1158" spans="1:18" s="47" customFormat="1" ht="51">
      <c r="A1158" s="63" t="s">
        <v>2390</v>
      </c>
      <c r="B1158" s="63" t="s">
        <v>96</v>
      </c>
      <c r="C1158" s="63" t="s">
        <v>2391</v>
      </c>
      <c r="D1158" s="61"/>
      <c r="E1158" s="45">
        <v>0.0249</v>
      </c>
      <c r="F1158" s="45">
        <v>0.0249</v>
      </c>
      <c r="G1158" s="66">
        <v>45597</v>
      </c>
      <c r="H1158" s="45" t="str">
        <f>IF(ISNUMBER(E1158),F1158-E1158,"N/A")</f>
        <v>N/A</v>
      </c>
      <c r="I1158" s="46" t="str">
        <f>IF(E1158&lt;&gt;"",IF(F1158=E1158,"No Change",IF(F1158&gt;E1158,"Increase","Decrease")),"New")</f>
        <v>Increase</v>
      </c>
      <c r="J1158" s="58" t="s">
        <v>122</v>
      </c>
      <c r="K1158" s="59" t="str">
        <f>IF(LEN(J1158)&gt;0,IF(OR(ISLOGICAL(J1158),J1158="TRUE"),"Yes",""),"")</f>
      </c>
      <c r="L1158" s="59"/>
      <c r="M1158" s="59"/>
      <c r="N1158" s="62" t="str">
        <f>IF(LEN(M1158)&gt;0,IF(OR(ISLOGICAL(M1158),M1158="TRUE"),"Yes",""),"")</f>
      </c>
      <c r="O1158" s="59"/>
      <c r="P1158" s="62" t="str">
        <f>IF(LEN(O1158)&gt;0,IF(OR(ISLOGICAL(O1158),O1158="TRUE"),"Yes",""),"")</f>
      </c>
      <c r="Q1158" s="62" t="s">
        <v>104</v>
      </c>
      <c r="R1158" s="63"/>
    </row>
    <row r="1159" spans="1:18" s="47" customFormat="1" ht="51">
      <c r="A1159" s="63" t="s">
        <v>2392</v>
      </c>
      <c r="B1159" s="63" t="s">
        <v>96</v>
      </c>
      <c r="C1159" s="63" t="s">
        <v>2393</v>
      </c>
      <c r="D1159" s="61"/>
      <c r="E1159" s="45">
        <v>0.0249</v>
      </c>
      <c r="F1159" s="45">
        <v>0.0249</v>
      </c>
      <c r="G1159" s="66">
        <v>45566</v>
      </c>
      <c r="H1159" s="45" t="str">
        <f>IF(ISNUMBER(E1159),F1159-E1159,"N/A")</f>
        <v>N/A</v>
      </c>
      <c r="I1159" s="46" t="str">
        <f>IF(E1159&lt;&gt;"",IF(F1159=E1159,"No Change",IF(F1159&gt;E1159,"Increase","Decrease")),"New")</f>
        <v>Increase</v>
      </c>
      <c r="J1159" s="58"/>
      <c r="K1159" s="59" t="str">
        <f>IF(LEN(J1159)&gt;0,IF(OR(ISLOGICAL(J1159),J1159="TRUE"),"Yes",""),"")</f>
      </c>
      <c r="L1159" s="59"/>
      <c r="M1159" s="59"/>
      <c r="N1159" s="62" t="str">
        <f>IF(LEN(M1159)&gt;0,IF(OR(ISLOGICAL(M1159),M1159="TRUE"),"Yes",""),"")</f>
      </c>
      <c r="O1159" s="59"/>
      <c r="P1159" s="62" t="str">
        <f>IF(LEN(O1159)&gt;0,IF(OR(ISLOGICAL(O1159),O1159="TRUE"),"Yes",""),"")</f>
      </c>
      <c r="Q1159" s="62" t="s">
        <v>104</v>
      </c>
      <c r="R1159" s="63"/>
    </row>
    <row r="1160" spans="1:18" s="47" customFormat="1" ht="51">
      <c r="A1160" s="63" t="s">
        <v>2394</v>
      </c>
      <c r="B1160" s="63" t="s">
        <v>96</v>
      </c>
      <c r="C1160" s="63" t="s">
        <v>2395</v>
      </c>
      <c r="D1160" s="61"/>
      <c r="E1160" s="45">
        <v>0.0249</v>
      </c>
      <c r="F1160" s="45">
        <v>0.0249</v>
      </c>
      <c r="G1160" s="66">
        <v>45566</v>
      </c>
      <c r="H1160" s="45" t="str">
        <f>IF(ISNUMBER(E1160),F1160-E1160,"N/A")</f>
        <v>N/A</v>
      </c>
      <c r="I1160" s="46" t="str">
        <f>IF(E1160&lt;&gt;"",IF(F1160=E1160,"No Change",IF(F1160&gt;E1160,"Increase","Decrease")),"New")</f>
        <v>Increase</v>
      </c>
      <c r="J1160" s="58"/>
      <c r="K1160" s="59" t="str">
        <f>IF(LEN(J1160)&gt;0,IF(OR(ISLOGICAL(J1160),J1160="TRUE"),"Yes",""),"")</f>
      </c>
      <c r="L1160" s="59"/>
      <c r="M1160" s="59"/>
      <c r="N1160" s="62" t="str">
        <f>IF(LEN(M1160)&gt;0,IF(OR(ISLOGICAL(M1160),M1160="TRUE"),"Yes",""),"")</f>
      </c>
      <c r="O1160" s="59"/>
      <c r="P1160" s="62" t="str">
        <f>IF(LEN(O1160)&gt;0,IF(OR(ISLOGICAL(O1160),O1160="TRUE"),"Yes",""),"")</f>
      </c>
      <c r="Q1160" s="62" t="s">
        <v>104</v>
      </c>
      <c r="R1160" s="63"/>
    </row>
    <row r="1161" spans="1:18" s="47" customFormat="1" ht="51">
      <c r="A1161" s="63" t="s">
        <v>2396</v>
      </c>
      <c r="B1161" s="63" t="s">
        <v>96</v>
      </c>
      <c r="C1161" s="63" t="s">
        <v>2397</v>
      </c>
      <c r="D1161" s="61"/>
      <c r="E1161" s="45">
        <v>0.0249</v>
      </c>
      <c r="F1161" s="45">
        <v>0.0249</v>
      </c>
      <c r="G1161" s="66">
        <v>45566</v>
      </c>
      <c r="H1161" s="45" t="str">
        <f>IF(ISNUMBER(E1161),F1161-E1161,"N/A")</f>
        <v>N/A</v>
      </c>
      <c r="I1161" s="46" t="str">
        <f>IF(E1161&lt;&gt;"",IF(F1161=E1161,"No Change",IF(F1161&gt;E1161,"Increase","Decrease")),"New")</f>
        <v>Increase</v>
      </c>
      <c r="J1161" s="58" t="s">
        <v>122</v>
      </c>
      <c r="K1161" s="59" t="str">
        <f>IF(LEN(J1161)&gt;0,IF(OR(ISLOGICAL(J1161),J1161="TRUE"),"Yes",""),"")</f>
      </c>
      <c r="L1161" s="59"/>
      <c r="M1161" s="59"/>
      <c r="N1161" s="62" t="str">
        <f>IF(LEN(M1161)&gt;0,IF(OR(ISLOGICAL(M1161),M1161="TRUE"),"Yes",""),"")</f>
      </c>
      <c r="O1161" s="59"/>
      <c r="P1161" s="62" t="str">
        <f>IF(LEN(O1161)&gt;0,IF(OR(ISLOGICAL(O1161),O1161="TRUE"),"Yes",""),"")</f>
      </c>
      <c r="Q1161" s="62" t="s">
        <v>104</v>
      </c>
      <c r="R1161" s="63"/>
    </row>
    <row r="1162" spans="1:18" s="47" customFormat="1" ht="51">
      <c r="A1162" s="63" t="s">
        <v>2398</v>
      </c>
      <c r="B1162" s="63" t="s">
        <v>96</v>
      </c>
      <c r="C1162" s="63" t="s">
        <v>2399</v>
      </c>
      <c r="D1162" s="61"/>
      <c r="E1162" s="45">
        <v>0.0249</v>
      </c>
      <c r="F1162" s="45">
        <v>0.0249</v>
      </c>
      <c r="G1162" s="66">
        <v>45566</v>
      </c>
      <c r="H1162" s="45" t="str">
        <f>IF(ISNUMBER(E1162),F1162-E1162,"N/A")</f>
        <v>N/A</v>
      </c>
      <c r="I1162" s="46" t="str">
        <f>IF(E1162&lt;&gt;"",IF(F1162=E1162,"No Change",IF(F1162&gt;E1162,"Increase","Decrease")),"New")</f>
        <v>Increase</v>
      </c>
      <c r="J1162" s="58" t="s">
        <v>122</v>
      </c>
      <c r="K1162" s="59" t="str">
        <f>IF(LEN(J1162)&gt;0,IF(OR(ISLOGICAL(J1162),J1162="TRUE"),"Yes",""),"")</f>
      </c>
      <c r="L1162" s="59"/>
      <c r="M1162" s="59"/>
      <c r="N1162" s="62" t="str">
        <f>IF(LEN(M1162)&gt;0,IF(OR(ISLOGICAL(M1162),M1162="TRUE"),"Yes",""),"")</f>
      </c>
      <c r="O1162" s="59"/>
      <c r="P1162" s="62" t="str">
        <f>IF(LEN(O1162)&gt;0,IF(OR(ISLOGICAL(O1162),O1162="TRUE"),"Yes",""),"")</f>
      </c>
      <c r="Q1162" s="62" t="s">
        <v>104</v>
      </c>
      <c r="R1162" s="63"/>
    </row>
    <row r="1163" spans="1:18" s="47" customFormat="1" ht="51">
      <c r="A1163" s="63" t="s">
        <v>2400</v>
      </c>
      <c r="B1163" s="63" t="s">
        <v>96</v>
      </c>
      <c r="C1163" s="63" t="s">
        <v>2401</v>
      </c>
      <c r="D1163" s="61"/>
      <c r="E1163" s="45">
        <v>1.55</v>
      </c>
      <c r="F1163" s="45">
        <v>1.55</v>
      </c>
      <c r="G1163" s="66">
        <v>45108</v>
      </c>
      <c r="H1163" s="45" t="str">
        <f>IF(ISNUMBER(E1163),F1163-E1163,"N/A")</f>
        <v>N/A</v>
      </c>
      <c r="I1163" s="46" t="str">
        <f>IF(E1163&lt;&gt;"",IF(F1163=E1163,"No Change",IF(F1163&gt;E1163,"Increase","Decrease")),"New")</f>
        <v>Increase</v>
      </c>
      <c r="J1163" s="58" t="s">
        <v>122</v>
      </c>
      <c r="K1163" s="59" t="str">
        <f>IF(LEN(J1163)&gt;0,IF(OR(ISLOGICAL(J1163),J1163="TRUE"),"Yes",""),"")</f>
      </c>
      <c r="L1163" s="59"/>
      <c r="M1163" s="59"/>
      <c r="N1163" s="62" t="str">
        <f>IF(LEN(M1163)&gt;0,IF(OR(ISLOGICAL(M1163),M1163="TRUE"),"Yes",""),"")</f>
      </c>
      <c r="O1163" s="59"/>
      <c r="P1163" s="62" t="str">
        <f>IF(LEN(O1163)&gt;0,IF(OR(ISLOGICAL(O1163),O1163="TRUE"),"Yes",""),"")</f>
      </c>
      <c r="Q1163" s="62" t="s">
        <v>109</v>
      </c>
      <c r="R1163" s="63"/>
    </row>
    <row r="1164" spans="1:18" s="47" customFormat="1" ht="51">
      <c r="A1164" s="63" t="s">
        <v>2402</v>
      </c>
      <c r="B1164" s="63" t="s">
        <v>96</v>
      </c>
      <c r="C1164" s="63" t="s">
        <v>2403</v>
      </c>
      <c r="D1164" s="61"/>
      <c r="E1164" s="45">
        <v>0.25</v>
      </c>
      <c r="F1164" s="45">
        <v>0.25</v>
      </c>
      <c r="G1164" s="66">
        <v>46078</v>
      </c>
      <c r="H1164" s="45" t="str">
        <f>IF(ISNUMBER(E1164),F1164-E1164,"N/A")</f>
        <v>N/A</v>
      </c>
      <c r="I1164" s="46" t="str">
        <f>IF(E1164&lt;&gt;"",IF(F1164=E1164,"No Change",IF(F1164&gt;E1164,"Increase","Decrease")),"New")</f>
        <v>Increase</v>
      </c>
      <c r="J1164" s="58"/>
      <c r="K1164" s="59" t="str">
        <f>IF(LEN(J1164)&gt;0,IF(OR(ISLOGICAL(J1164),J1164="TRUE"),"Yes",""),"")</f>
      </c>
      <c r="L1164" s="59"/>
      <c r="M1164" s="59"/>
      <c r="N1164" s="62" t="str">
        <f>IF(LEN(M1164)&gt;0,IF(OR(ISLOGICAL(M1164),M1164="TRUE"),"Yes",""),"")</f>
      </c>
      <c r="O1164" s="59"/>
      <c r="P1164" s="62" t="str">
        <f>IF(LEN(O1164)&gt;0,IF(OR(ISLOGICAL(O1164),O1164="TRUE"),"Yes",""),"")</f>
      </c>
      <c r="Q1164" s="62" t="s">
        <v>98</v>
      </c>
      <c r="R1164" s="63"/>
    </row>
    <row r="1165" spans="1:18" s="47" customFormat="1" ht="51">
      <c r="A1165" s="63" t="s">
        <v>2404</v>
      </c>
      <c r="B1165" s="63" t="s">
        <v>96</v>
      </c>
      <c r="C1165" s="63" t="s">
        <v>2405</v>
      </c>
      <c r="D1165" s="61"/>
      <c r="E1165" s="45">
        <v>0.3</v>
      </c>
      <c r="F1165" s="45">
        <v>0.3</v>
      </c>
      <c r="G1165" s="66">
        <v>45847</v>
      </c>
      <c r="H1165" s="45" t="str">
        <f>IF(ISNUMBER(E1165),F1165-E1165,"N/A")</f>
        <v>N/A</v>
      </c>
      <c r="I1165" s="46" t="str">
        <f>IF(E1165&lt;&gt;"",IF(F1165=E1165,"No Change",IF(F1165&gt;E1165,"Increase","Decrease")),"New")</f>
        <v>Increase</v>
      </c>
      <c r="J1165" s="58" t="s">
        <v>122</v>
      </c>
      <c r="K1165" s="59" t="str">
        <f>IF(LEN(J1165)&gt;0,IF(OR(ISLOGICAL(J1165),J1165="TRUE"),"Yes",""),"")</f>
      </c>
      <c r="L1165" s="59"/>
      <c r="M1165" s="59"/>
      <c r="N1165" s="62" t="str">
        <f>IF(LEN(M1165)&gt;0,IF(OR(ISLOGICAL(M1165),M1165="TRUE"),"Yes",""),"")</f>
      </c>
      <c r="O1165" s="59"/>
      <c r="P1165" s="62" t="str">
        <f>IF(LEN(O1165)&gt;0,IF(OR(ISLOGICAL(O1165),O1165="TRUE"),"Yes",""),"")</f>
      </c>
      <c r="Q1165" s="62" t="s">
        <v>98</v>
      </c>
      <c r="R1165" s="63"/>
    </row>
    <row r="1166" spans="1:18" s="47" customFormat="1" ht="51">
      <c r="A1166" s="63" t="s">
        <v>2406</v>
      </c>
      <c r="B1166" s="63" t="s">
        <v>96</v>
      </c>
      <c r="C1166" s="63" t="s">
        <v>2407</v>
      </c>
      <c r="D1166" s="61"/>
      <c r="E1166" s="45">
        <v>0.25</v>
      </c>
      <c r="F1166" s="45">
        <v>0.25</v>
      </c>
      <c r="G1166" s="66">
        <v>46078</v>
      </c>
      <c r="H1166" s="45" t="str">
        <f>IF(ISNUMBER(E1166),F1166-E1166,"N/A")</f>
        <v>N/A</v>
      </c>
      <c r="I1166" s="46" t="str">
        <f>IF(E1166&lt;&gt;"",IF(F1166=E1166,"No Change",IF(F1166&gt;E1166,"Increase","Decrease")),"New")</f>
        <v>Increase</v>
      </c>
      <c r="J1166" s="58" t="s">
        <v>122</v>
      </c>
      <c r="K1166" s="59" t="str">
        <f>IF(LEN(J1166)&gt;0,IF(OR(ISLOGICAL(J1166),J1166="TRUE"),"Yes",""),"")</f>
      </c>
      <c r="L1166" s="59"/>
      <c r="M1166" s="59"/>
      <c r="N1166" s="62" t="str">
        <f>IF(LEN(M1166)&gt;0,IF(OR(ISLOGICAL(M1166),M1166="TRUE"),"Yes",""),"")</f>
      </c>
      <c r="O1166" s="59"/>
      <c r="P1166" s="62" t="str">
        <f>IF(LEN(O1166)&gt;0,IF(OR(ISLOGICAL(O1166),O1166="TRUE"),"Yes",""),"")</f>
      </c>
      <c r="Q1166" s="62" t="s">
        <v>98</v>
      </c>
      <c r="R1166" s="63"/>
    </row>
    <row r="1167" spans="1:18" s="47" customFormat="1" ht="51">
      <c r="A1167" s="63" t="s">
        <v>2408</v>
      </c>
      <c r="B1167" s="63" t="s">
        <v>96</v>
      </c>
      <c r="C1167" s="63" t="s">
        <v>2409</v>
      </c>
      <c r="D1167" s="61"/>
      <c r="E1167" s="45">
        <v>1.5</v>
      </c>
      <c r="F1167" s="45">
        <v>1.5</v>
      </c>
      <c r="G1167" s="66">
        <v>46092</v>
      </c>
      <c r="H1167" s="45" t="str">
        <f>IF(ISNUMBER(E1167),F1167-E1167,"N/A")</f>
        <v>N/A</v>
      </c>
      <c r="I1167" s="46" t="str">
        <f>IF(E1167&lt;&gt;"",IF(F1167=E1167,"No Change",IF(F1167&gt;E1167,"Increase","Decrease")),"New")</f>
        <v>Increase</v>
      </c>
      <c r="J1167" s="58"/>
      <c r="K1167" s="59" t="str">
        <f>IF(LEN(J1167)&gt;0,IF(OR(ISLOGICAL(J1167),J1167="TRUE"),"Yes",""),"")</f>
      </c>
      <c r="L1167" s="59"/>
      <c r="M1167" s="59"/>
      <c r="N1167" s="62" t="str">
        <f>IF(LEN(M1167)&gt;0,IF(OR(ISLOGICAL(M1167),M1167="TRUE"),"Yes",""),"")</f>
      </c>
      <c r="O1167" s="59"/>
      <c r="P1167" s="62" t="str">
        <f>IF(LEN(O1167)&gt;0,IF(OR(ISLOGICAL(O1167),O1167="TRUE"),"Yes",""),"")</f>
      </c>
      <c r="Q1167" s="62" t="s">
        <v>109</v>
      </c>
      <c r="R1167" s="63"/>
    </row>
    <row r="1168" spans="1:18" s="47" customFormat="1" ht="51">
      <c r="A1168" s="63" t="s">
        <v>2410</v>
      </c>
      <c r="B1168" s="63" t="s">
        <v>96</v>
      </c>
      <c r="C1168" s="63" t="s">
        <v>2411</v>
      </c>
      <c r="D1168" s="61"/>
      <c r="E1168" s="45">
        <v>0.7525</v>
      </c>
      <c r="F1168" s="45">
        <v>0.7525</v>
      </c>
      <c r="G1168" s="66">
        <v>45474</v>
      </c>
      <c r="H1168" s="45" t="str">
        <f>IF(ISNUMBER(E1168),F1168-E1168,"N/A")</f>
        <v>N/A</v>
      </c>
      <c r="I1168" s="46" t="str">
        <f>IF(E1168&lt;&gt;"",IF(F1168=E1168,"No Change",IF(F1168&gt;E1168,"Increase","Decrease")),"New")</f>
        <v>Increase</v>
      </c>
      <c r="J1168" s="58"/>
      <c r="K1168" s="59" t="str">
        <f>IF(LEN(J1168)&gt;0,IF(OR(ISLOGICAL(J1168),J1168="TRUE"),"Yes",""),"")</f>
      </c>
      <c r="L1168" s="59"/>
      <c r="M1168" s="59"/>
      <c r="N1168" s="62" t="str">
        <f>IF(LEN(M1168)&gt;0,IF(OR(ISLOGICAL(M1168),M1168="TRUE"),"Yes",""),"")</f>
      </c>
      <c r="O1168" s="59"/>
      <c r="P1168" s="62" t="str">
        <f>IF(LEN(O1168)&gt;0,IF(OR(ISLOGICAL(O1168),O1168="TRUE"),"Yes",""),"")</f>
      </c>
      <c r="Q1168" s="62" t="s">
        <v>109</v>
      </c>
      <c r="R1168" s="63"/>
    </row>
    <row r="1169" spans="1:18" s="47" customFormat="1" ht="51">
      <c r="A1169" s="63" t="s">
        <v>2412</v>
      </c>
      <c r="B1169" s="63" t="s">
        <v>96</v>
      </c>
      <c r="C1169" s="63" t="s">
        <v>2413</v>
      </c>
      <c r="D1169" s="61"/>
      <c r="E1169" s="45">
        <v>0.84</v>
      </c>
      <c r="F1169" s="45">
        <v>0.84</v>
      </c>
      <c r="G1169" s="66">
        <v>45474</v>
      </c>
      <c r="H1169" s="45" t="str">
        <f>IF(ISNUMBER(E1169),F1169-E1169,"N/A")</f>
        <v>N/A</v>
      </c>
      <c r="I1169" s="46" t="str">
        <f>IF(E1169&lt;&gt;"",IF(F1169=E1169,"No Change",IF(F1169&gt;E1169,"Increase","Decrease")),"New")</f>
        <v>Increase</v>
      </c>
      <c r="J1169" s="58"/>
      <c r="K1169" s="59" t="str">
        <f>IF(LEN(J1169)&gt;0,IF(OR(ISLOGICAL(J1169),J1169="TRUE"),"Yes",""),"")</f>
      </c>
      <c r="L1169" s="59"/>
      <c r="M1169" s="59"/>
      <c r="N1169" s="62" t="str">
        <f>IF(LEN(M1169)&gt;0,IF(OR(ISLOGICAL(M1169),M1169="TRUE"),"Yes",""),"")</f>
      </c>
      <c r="O1169" s="59"/>
      <c r="P1169" s="62" t="str">
        <f>IF(LEN(O1169)&gt;0,IF(OR(ISLOGICAL(O1169),O1169="TRUE"),"Yes",""),"")</f>
      </c>
      <c r="Q1169" s="62" t="s">
        <v>109</v>
      </c>
      <c r="R1169" s="63"/>
    </row>
    <row r="1170" spans="1:18" s="47" customFormat="1" ht="51">
      <c r="A1170" s="63" t="s">
        <v>2414</v>
      </c>
      <c r="B1170" s="63" t="s">
        <v>96</v>
      </c>
      <c r="C1170" s="63" t="s">
        <v>2415</v>
      </c>
      <c r="D1170" s="61"/>
      <c r="E1170" s="45">
        <v>0.84</v>
      </c>
      <c r="F1170" s="45">
        <v>0.84</v>
      </c>
      <c r="G1170" s="66">
        <v>44517</v>
      </c>
      <c r="H1170" s="45" t="str">
        <f>IF(ISNUMBER(E1170),F1170-E1170,"N/A")</f>
        <v>N/A</v>
      </c>
      <c r="I1170" s="46" t="str">
        <f>IF(E1170&lt;&gt;"",IF(F1170=E1170,"No Change",IF(F1170&gt;E1170,"Increase","Decrease")),"New")</f>
        <v>Increase</v>
      </c>
      <c r="J1170" s="58" t="s">
        <v>122</v>
      </c>
      <c r="K1170" s="59" t="str">
        <f>IF(LEN(J1170)&gt;0,IF(OR(ISLOGICAL(J1170),J1170="TRUE"),"Yes",""),"")</f>
      </c>
      <c r="L1170" s="59"/>
      <c r="M1170" s="59"/>
      <c r="N1170" s="62" t="str">
        <f>IF(LEN(M1170)&gt;0,IF(OR(ISLOGICAL(M1170),M1170="TRUE"),"Yes",""),"")</f>
      </c>
      <c r="O1170" s="59"/>
      <c r="P1170" s="62" t="str">
        <f>IF(LEN(O1170)&gt;0,IF(OR(ISLOGICAL(O1170),O1170="TRUE"),"Yes",""),"")</f>
      </c>
      <c r="Q1170" s="62" t="s">
        <v>109</v>
      </c>
      <c r="R1170" s="63"/>
    </row>
    <row r="1171" spans="1:18" s="47" customFormat="1" ht="51">
      <c r="A1171" s="63" t="s">
        <v>2416</v>
      </c>
      <c r="B1171" s="63" t="s">
        <v>96</v>
      </c>
      <c r="C1171" s="63" t="s">
        <v>2417</v>
      </c>
      <c r="D1171" s="61"/>
      <c r="E1171" s="45">
        <v>0.7525</v>
      </c>
      <c r="F1171" s="45">
        <v>0.7525</v>
      </c>
      <c r="G1171" s="66">
        <v>43831</v>
      </c>
      <c r="H1171" s="45" t="str">
        <f>IF(ISNUMBER(E1171),F1171-E1171,"N/A")</f>
        <v>N/A</v>
      </c>
      <c r="I1171" s="46" t="str">
        <f>IF(E1171&lt;&gt;"",IF(F1171=E1171,"No Change",IF(F1171&gt;E1171,"Increase","Decrease")),"New")</f>
        <v>Increase</v>
      </c>
      <c r="J1171" s="58" t="s">
        <v>122</v>
      </c>
      <c r="K1171" s="59" t="str">
        <f>IF(LEN(J1171)&gt;0,IF(OR(ISLOGICAL(J1171),J1171="TRUE"),"Yes",""),"")</f>
      </c>
      <c r="L1171" s="59"/>
      <c r="M1171" s="59"/>
      <c r="N1171" s="62" t="str">
        <f>IF(LEN(M1171)&gt;0,IF(OR(ISLOGICAL(M1171),M1171="TRUE"),"Yes",""),"")</f>
      </c>
      <c r="O1171" s="59"/>
      <c r="P1171" s="62" t="str">
        <f>IF(LEN(O1171)&gt;0,IF(OR(ISLOGICAL(O1171),O1171="TRUE"),"Yes",""),"")</f>
      </c>
      <c r="Q1171" s="62" t="s">
        <v>109</v>
      </c>
      <c r="R1171" s="63"/>
    </row>
    <row r="1172" spans="1:18" s="47" customFormat="1" ht="51">
      <c r="A1172" s="63" t="s">
        <v>2418</v>
      </c>
      <c r="B1172" s="63" t="s">
        <v>96</v>
      </c>
      <c r="C1172" s="63" t="s">
        <v>2419</v>
      </c>
      <c r="D1172" s="61"/>
      <c r="E1172" s="45">
        <v>0.99</v>
      </c>
      <c r="F1172" s="45">
        <v>0.99</v>
      </c>
      <c r="G1172" s="66">
        <v>45474</v>
      </c>
      <c r="H1172" s="45" t="str">
        <f>IF(ISNUMBER(E1172),F1172-E1172,"N/A")</f>
        <v>N/A</v>
      </c>
      <c r="I1172" s="46" t="str">
        <f>IF(E1172&lt;&gt;"",IF(F1172=E1172,"No Change",IF(F1172&gt;E1172,"Increase","Decrease")),"New")</f>
        <v>Increase</v>
      </c>
      <c r="J1172" s="58"/>
      <c r="K1172" s="59" t="str">
        <f>IF(LEN(J1172)&gt;0,IF(OR(ISLOGICAL(J1172),J1172="TRUE"),"Yes",""),"")</f>
      </c>
      <c r="L1172" s="59"/>
      <c r="M1172" s="59"/>
      <c r="N1172" s="62" t="str">
        <f>IF(LEN(M1172)&gt;0,IF(OR(ISLOGICAL(M1172),M1172="TRUE"),"Yes",""),"")</f>
      </c>
      <c r="O1172" s="59"/>
      <c r="P1172" s="62" t="str">
        <f>IF(LEN(O1172)&gt;0,IF(OR(ISLOGICAL(O1172),O1172="TRUE"),"Yes",""),"")</f>
      </c>
      <c r="Q1172" s="62" t="s">
        <v>109</v>
      </c>
      <c r="R1172" s="63"/>
    </row>
    <row r="1173" spans="1:18" s="47" customFormat="1" ht="51">
      <c r="A1173" s="63" t="s">
        <v>2420</v>
      </c>
      <c r="B1173" s="63" t="s">
        <v>96</v>
      </c>
      <c r="C1173" s="63" t="s">
        <v>2421</v>
      </c>
      <c r="D1173" s="61"/>
      <c r="E1173" s="45">
        <v>0.08</v>
      </c>
      <c r="F1173" s="45">
        <v>0.08</v>
      </c>
      <c r="G1173" s="66">
        <v>46078</v>
      </c>
      <c r="H1173" s="45" t="str">
        <f>IF(ISNUMBER(E1173),F1173-E1173,"N/A")</f>
        <v>N/A</v>
      </c>
      <c r="I1173" s="46" t="str">
        <f>IF(E1173&lt;&gt;"",IF(F1173=E1173,"No Change",IF(F1173&gt;E1173,"Increase","Decrease")),"New")</f>
        <v>Increase</v>
      </c>
      <c r="J1173" s="58"/>
      <c r="K1173" s="59" t="str">
        <f>IF(LEN(J1173)&gt;0,IF(OR(ISLOGICAL(J1173),J1173="TRUE"),"Yes",""),"")</f>
      </c>
      <c r="L1173" s="59"/>
      <c r="M1173" s="59"/>
      <c r="N1173" s="62" t="str">
        <f>IF(LEN(M1173)&gt;0,IF(OR(ISLOGICAL(M1173),M1173="TRUE"),"Yes",""),"")</f>
      </c>
      <c r="O1173" s="59"/>
      <c r="P1173" s="62" t="str">
        <f>IF(LEN(O1173)&gt;0,IF(OR(ISLOGICAL(O1173),O1173="TRUE"),"Yes",""),"")</f>
      </c>
      <c r="Q1173" s="62" t="s">
        <v>98</v>
      </c>
      <c r="R1173" s="63"/>
    </row>
    <row r="1174" spans="1:18" s="47" customFormat="1" ht="51">
      <c r="A1174" s="63" t="s">
        <v>2422</v>
      </c>
      <c r="B1174" s="63" t="s">
        <v>96</v>
      </c>
      <c r="C1174" s="63" t="s">
        <v>2423</v>
      </c>
      <c r="D1174" s="61"/>
      <c r="E1174" s="45">
        <v>0.131</v>
      </c>
      <c r="F1174" s="45">
        <v>0.131</v>
      </c>
      <c r="G1174" s="66">
        <v>46085</v>
      </c>
      <c r="H1174" s="45" t="str">
        <f>IF(ISNUMBER(E1174),F1174-E1174,"N/A")</f>
        <v>N/A</v>
      </c>
      <c r="I1174" s="46" t="str">
        <f>IF(E1174&lt;&gt;"",IF(F1174=E1174,"No Change",IF(F1174&gt;E1174,"Increase","Decrease")),"New")</f>
        <v>Increase</v>
      </c>
      <c r="J1174" s="58" t="s">
        <v>122</v>
      </c>
      <c r="K1174" s="59" t="str">
        <f>IF(LEN(J1174)&gt;0,IF(OR(ISLOGICAL(J1174),J1174="TRUE"),"Yes",""),"")</f>
      </c>
      <c r="L1174" s="59"/>
      <c r="M1174" s="59"/>
      <c r="N1174" s="62" t="str">
        <f>IF(LEN(M1174)&gt;0,IF(OR(ISLOGICAL(M1174),M1174="TRUE"),"Yes",""),"")</f>
      </c>
      <c r="O1174" s="59"/>
      <c r="P1174" s="62" t="str">
        <f>IF(LEN(O1174)&gt;0,IF(OR(ISLOGICAL(O1174),O1174="TRUE"),"Yes",""),"")</f>
      </c>
      <c r="Q1174" s="62" t="s">
        <v>98</v>
      </c>
      <c r="R1174" s="63"/>
    </row>
    <row r="1175" spans="1:18" s="47" customFormat="1" ht="51">
      <c r="A1175" s="63" t="s">
        <v>2424</v>
      </c>
      <c r="B1175" s="63" t="s">
        <v>96</v>
      </c>
      <c r="C1175" s="63" t="s">
        <v>2425</v>
      </c>
      <c r="D1175" s="61"/>
      <c r="E1175" s="45">
        <v>0.132</v>
      </c>
      <c r="F1175" s="45">
        <v>0.132</v>
      </c>
      <c r="G1175" s="66">
        <v>46085</v>
      </c>
      <c r="H1175" s="45" t="str">
        <f>IF(ISNUMBER(E1175),F1175-E1175,"N/A")</f>
        <v>N/A</v>
      </c>
      <c r="I1175" s="46" t="str">
        <f>IF(E1175&lt;&gt;"",IF(F1175=E1175,"No Change",IF(F1175&gt;E1175,"Increase","Decrease")),"New")</f>
        <v>Increase</v>
      </c>
      <c r="J1175" s="58" t="s">
        <v>122</v>
      </c>
      <c r="K1175" s="59" t="str">
        <f>IF(LEN(J1175)&gt;0,IF(OR(ISLOGICAL(J1175),J1175="TRUE"),"Yes",""),"")</f>
      </c>
      <c r="L1175" s="59"/>
      <c r="M1175" s="59"/>
      <c r="N1175" s="62" t="str">
        <f>IF(LEN(M1175)&gt;0,IF(OR(ISLOGICAL(M1175),M1175="TRUE"),"Yes",""),"")</f>
      </c>
      <c r="O1175" s="59"/>
      <c r="P1175" s="62" t="str">
        <f>IF(LEN(O1175)&gt;0,IF(OR(ISLOGICAL(O1175),O1175="TRUE"),"Yes",""),"")</f>
      </c>
      <c r="Q1175" s="62" t="s">
        <v>98</v>
      </c>
      <c r="R1175" s="63"/>
    </row>
    <row r="1176" spans="1:18" s="47" customFormat="1" ht="51">
      <c r="A1176" s="63" t="s">
        <v>2426</v>
      </c>
      <c r="B1176" s="63" t="s">
        <v>96</v>
      </c>
      <c r="C1176" s="63" t="s">
        <v>2427</v>
      </c>
      <c r="D1176" s="61"/>
      <c r="E1176" s="45">
        <v>0.8</v>
      </c>
      <c r="F1176" s="45">
        <v>0.8</v>
      </c>
      <c r="G1176" s="66">
        <v>46078</v>
      </c>
      <c r="H1176" s="45" t="str">
        <f>IF(ISNUMBER(E1176),F1176-E1176,"N/A")</f>
        <v>N/A</v>
      </c>
      <c r="I1176" s="46" t="str">
        <f>IF(E1176&lt;&gt;"",IF(F1176=E1176,"No Change",IF(F1176&gt;E1176,"Increase","Decrease")),"New")</f>
        <v>Increase</v>
      </c>
      <c r="J1176" s="58"/>
      <c r="K1176" s="59" t="str">
        <f>IF(LEN(J1176)&gt;0,IF(OR(ISLOGICAL(J1176),J1176="TRUE"),"Yes",""),"")</f>
      </c>
      <c r="L1176" s="59"/>
      <c r="M1176" s="59"/>
      <c r="N1176" s="62" t="str">
        <f>IF(LEN(M1176)&gt;0,IF(OR(ISLOGICAL(M1176),M1176="TRUE"),"Yes",""),"")</f>
      </c>
      <c r="O1176" s="59"/>
      <c r="P1176" s="62" t="str">
        <f>IF(LEN(O1176)&gt;0,IF(OR(ISLOGICAL(O1176),O1176="TRUE"),"Yes",""),"")</f>
      </c>
      <c r="Q1176" s="62" t="s">
        <v>98</v>
      </c>
      <c r="R1176" s="63"/>
    </row>
    <row r="1177" spans="1:18" s="47" customFormat="1" ht="51">
      <c r="A1177" s="63" t="s">
        <v>2428</v>
      </c>
      <c r="B1177" s="63" t="s">
        <v>96</v>
      </c>
      <c r="C1177" s="63" t="s">
        <v>2429</v>
      </c>
      <c r="D1177" s="61"/>
      <c r="E1177" s="45">
        <v>0.8</v>
      </c>
      <c r="F1177" s="45">
        <v>0.8</v>
      </c>
      <c r="G1177" s="66">
        <v>46082</v>
      </c>
      <c r="H1177" s="45" t="str">
        <f>IF(ISNUMBER(E1177),F1177-E1177,"N/A")</f>
        <v>N/A</v>
      </c>
      <c r="I1177" s="46" t="str">
        <f>IF(E1177&lt;&gt;"",IF(F1177=E1177,"No Change",IF(F1177&gt;E1177,"Increase","Decrease")),"New")</f>
        <v>Increase</v>
      </c>
      <c r="J1177" s="58"/>
      <c r="K1177" s="59" t="str">
        <f>IF(LEN(J1177)&gt;0,IF(OR(ISLOGICAL(J1177),J1177="TRUE"),"Yes",""),"")</f>
      </c>
      <c r="L1177" s="59"/>
      <c r="M1177" s="59"/>
      <c r="N1177" s="62" t="str">
        <f>IF(LEN(M1177)&gt;0,IF(OR(ISLOGICAL(M1177),M1177="TRUE"),"Yes",""),"")</f>
      </c>
      <c r="O1177" s="59"/>
      <c r="P1177" s="62" t="str">
        <f>IF(LEN(O1177)&gt;0,IF(OR(ISLOGICAL(O1177),O1177="TRUE"),"Yes",""),"")</f>
      </c>
      <c r="Q1177" s="62" t="s">
        <v>98</v>
      </c>
      <c r="R1177" s="63"/>
    </row>
    <row r="1178" spans="1:18" s="47" customFormat="1" ht="51">
      <c r="A1178" s="63" t="s">
        <v>2430</v>
      </c>
      <c r="B1178" s="63" t="s">
        <v>96</v>
      </c>
      <c r="C1178" s="63" t="s">
        <v>2431</v>
      </c>
      <c r="D1178" s="61"/>
      <c r="E1178" s="45">
        <v>0.8</v>
      </c>
      <c r="F1178" s="45">
        <v>0.8</v>
      </c>
      <c r="G1178" s="66">
        <v>46082</v>
      </c>
      <c r="H1178" s="45" t="str">
        <f>IF(ISNUMBER(E1178),F1178-E1178,"N/A")</f>
        <v>N/A</v>
      </c>
      <c r="I1178" s="46" t="str">
        <f>IF(E1178&lt;&gt;"",IF(F1178=E1178,"No Change",IF(F1178&gt;E1178,"Increase","Decrease")),"New")</f>
        <v>Increase</v>
      </c>
      <c r="J1178" s="58"/>
      <c r="K1178" s="59" t="str">
        <f>IF(LEN(J1178)&gt;0,IF(OR(ISLOGICAL(J1178),J1178="TRUE"),"Yes",""),"")</f>
      </c>
      <c r="L1178" s="59"/>
      <c r="M1178" s="59"/>
      <c r="N1178" s="62" t="str">
        <f>IF(LEN(M1178)&gt;0,IF(OR(ISLOGICAL(M1178),M1178="TRUE"),"Yes",""),"")</f>
      </c>
      <c r="O1178" s="59"/>
      <c r="P1178" s="62" t="str">
        <f>IF(LEN(O1178)&gt;0,IF(OR(ISLOGICAL(O1178),O1178="TRUE"),"Yes",""),"")</f>
      </c>
      <c r="Q1178" s="62" t="s">
        <v>98</v>
      </c>
      <c r="R1178" s="63"/>
    </row>
    <row r="1179" spans="1:18" s="47" customFormat="1" ht="51">
      <c r="A1179" s="63" t="s">
        <v>2432</v>
      </c>
      <c r="B1179" s="63" t="s">
        <v>96</v>
      </c>
      <c r="C1179" s="63" t="s">
        <v>2433</v>
      </c>
      <c r="D1179" s="61"/>
      <c r="E1179" s="45">
        <v>0.8</v>
      </c>
      <c r="F1179" s="45">
        <v>0.8</v>
      </c>
      <c r="G1179" s="66">
        <v>46082</v>
      </c>
      <c r="H1179" s="45" t="str">
        <f>IF(ISNUMBER(E1179),F1179-E1179,"N/A")</f>
        <v>N/A</v>
      </c>
      <c r="I1179" s="46" t="str">
        <f>IF(E1179&lt;&gt;"",IF(F1179=E1179,"No Change",IF(F1179&gt;E1179,"Increase","Decrease")),"New")</f>
        <v>Increase</v>
      </c>
      <c r="J1179" s="58"/>
      <c r="K1179" s="59" t="str">
        <f>IF(LEN(J1179)&gt;0,IF(OR(ISLOGICAL(J1179),J1179="TRUE"),"Yes",""),"")</f>
      </c>
      <c r="L1179" s="59"/>
      <c r="M1179" s="59"/>
      <c r="N1179" s="62" t="str">
        <f>IF(LEN(M1179)&gt;0,IF(OR(ISLOGICAL(M1179),M1179="TRUE"),"Yes",""),"")</f>
      </c>
      <c r="O1179" s="59"/>
      <c r="P1179" s="62" t="str">
        <f>IF(LEN(O1179)&gt;0,IF(OR(ISLOGICAL(O1179),O1179="TRUE"),"Yes",""),"")</f>
      </c>
      <c r="Q1179" s="62" t="s">
        <v>98</v>
      </c>
      <c r="R1179" s="63"/>
    </row>
    <row r="1180" spans="1:18" s="47" customFormat="1" ht="51">
      <c r="A1180" s="63" t="s">
        <v>2434</v>
      </c>
      <c r="B1180" s="63" t="s">
        <v>96</v>
      </c>
      <c r="C1180" s="63" t="s">
        <v>2435</v>
      </c>
      <c r="D1180" s="61"/>
      <c r="E1180" s="45">
        <v>0.8</v>
      </c>
      <c r="F1180" s="45">
        <v>0.8</v>
      </c>
      <c r="G1180" s="66">
        <v>46078</v>
      </c>
      <c r="H1180" s="45" t="str">
        <f>IF(ISNUMBER(E1180),F1180-E1180,"N/A")</f>
        <v>N/A</v>
      </c>
      <c r="I1180" s="46" t="str">
        <f>IF(E1180&lt;&gt;"",IF(F1180=E1180,"No Change",IF(F1180&gt;E1180,"Increase","Decrease")),"New")</f>
        <v>Increase</v>
      </c>
      <c r="J1180" s="58" t="s">
        <v>122</v>
      </c>
      <c r="K1180" s="59" t="str">
        <f>IF(LEN(J1180)&gt;0,IF(OR(ISLOGICAL(J1180),J1180="TRUE"),"Yes",""),"")</f>
      </c>
      <c r="L1180" s="59"/>
      <c r="M1180" s="59"/>
      <c r="N1180" s="62" t="str">
        <f>IF(LEN(M1180)&gt;0,IF(OR(ISLOGICAL(M1180),M1180="TRUE"),"Yes",""),"")</f>
      </c>
      <c r="O1180" s="59"/>
      <c r="P1180" s="62" t="str">
        <f>IF(LEN(O1180)&gt;0,IF(OR(ISLOGICAL(O1180),O1180="TRUE"),"Yes",""),"")</f>
      </c>
      <c r="Q1180" s="62" t="s">
        <v>98</v>
      </c>
      <c r="R1180" s="63"/>
    </row>
    <row r="1181" spans="1:18" s="47" customFormat="1" ht="51">
      <c r="A1181" s="63" t="s">
        <v>2436</v>
      </c>
      <c r="B1181" s="63" t="s">
        <v>96</v>
      </c>
      <c r="C1181" s="63" t="s">
        <v>2437</v>
      </c>
      <c r="D1181" s="61"/>
      <c r="E1181" s="45">
        <v>0.8</v>
      </c>
      <c r="F1181" s="45">
        <v>0.8</v>
      </c>
      <c r="G1181" s="66">
        <v>46078</v>
      </c>
      <c r="H1181" s="45" t="str">
        <f>IF(ISNUMBER(E1181),F1181-E1181,"N/A")</f>
        <v>N/A</v>
      </c>
      <c r="I1181" s="46" t="str">
        <f>IF(E1181&lt;&gt;"",IF(F1181=E1181,"No Change",IF(F1181&gt;E1181,"Increase","Decrease")),"New")</f>
        <v>Increase</v>
      </c>
      <c r="J1181" s="58" t="s">
        <v>122</v>
      </c>
      <c r="K1181" s="59" t="str">
        <f>IF(LEN(J1181)&gt;0,IF(OR(ISLOGICAL(J1181),J1181="TRUE"),"Yes",""),"")</f>
      </c>
      <c r="L1181" s="59"/>
      <c r="M1181" s="59"/>
      <c r="N1181" s="62" t="str">
        <f>IF(LEN(M1181)&gt;0,IF(OR(ISLOGICAL(M1181),M1181="TRUE"),"Yes",""),"")</f>
      </c>
      <c r="O1181" s="59"/>
      <c r="P1181" s="62" t="str">
        <f>IF(LEN(O1181)&gt;0,IF(OR(ISLOGICAL(O1181),O1181="TRUE"),"Yes",""),"")</f>
      </c>
      <c r="Q1181" s="62" t="s">
        <v>98</v>
      </c>
      <c r="R1181" s="63"/>
    </row>
    <row r="1182" spans="1:18" s="47" customFormat="1" ht="51">
      <c r="A1182" s="63" t="s">
        <v>2438</v>
      </c>
      <c r="B1182" s="63" t="s">
        <v>96</v>
      </c>
      <c r="C1182" s="63" t="s">
        <v>2439</v>
      </c>
      <c r="D1182" s="61"/>
      <c r="E1182" s="45">
        <v>0.8</v>
      </c>
      <c r="F1182" s="45">
        <v>0.8</v>
      </c>
      <c r="G1182" s="66">
        <v>46078</v>
      </c>
      <c r="H1182" s="45" t="str">
        <f>IF(ISNUMBER(E1182),F1182-E1182,"N/A")</f>
        <v>N/A</v>
      </c>
      <c r="I1182" s="46" t="str">
        <f>IF(E1182&lt;&gt;"",IF(F1182=E1182,"No Change",IF(F1182&gt;E1182,"Increase","Decrease")),"New")</f>
        <v>Increase</v>
      </c>
      <c r="J1182" s="58" t="s">
        <v>122</v>
      </c>
      <c r="K1182" s="59" t="str">
        <f>IF(LEN(J1182)&gt;0,IF(OR(ISLOGICAL(J1182),J1182="TRUE"),"Yes",""),"")</f>
      </c>
      <c r="L1182" s="59"/>
      <c r="M1182" s="59"/>
      <c r="N1182" s="62" t="str">
        <f>IF(LEN(M1182)&gt;0,IF(OR(ISLOGICAL(M1182),M1182="TRUE"),"Yes",""),"")</f>
      </c>
      <c r="O1182" s="59"/>
      <c r="P1182" s="62" t="str">
        <f>IF(LEN(O1182)&gt;0,IF(OR(ISLOGICAL(O1182),O1182="TRUE"),"Yes",""),"")</f>
      </c>
      <c r="Q1182" s="62" t="s">
        <v>98</v>
      </c>
      <c r="R1182" s="63"/>
    </row>
    <row r="1183" spans="1:18" s="47" customFormat="1" ht="51">
      <c r="A1183" s="63" t="s">
        <v>2440</v>
      </c>
      <c r="B1183" s="63" t="s">
        <v>96</v>
      </c>
      <c r="C1183" s="63" t="s">
        <v>2441</v>
      </c>
      <c r="D1183" s="61"/>
      <c r="E1183" s="45">
        <v>0.8</v>
      </c>
      <c r="F1183" s="45">
        <v>0.8</v>
      </c>
      <c r="G1183" s="66">
        <v>46082</v>
      </c>
      <c r="H1183" s="45" t="str">
        <f>IF(ISNUMBER(E1183),F1183-E1183,"N/A")</f>
        <v>N/A</v>
      </c>
      <c r="I1183" s="46" t="str">
        <f>IF(E1183&lt;&gt;"",IF(F1183=E1183,"No Change",IF(F1183&gt;E1183,"Increase","Decrease")),"New")</f>
        <v>Increase</v>
      </c>
      <c r="J1183" s="58"/>
      <c r="K1183" s="59" t="str">
        <f>IF(LEN(J1183)&gt;0,IF(OR(ISLOGICAL(J1183),J1183="TRUE"),"Yes",""),"")</f>
      </c>
      <c r="L1183" s="59"/>
      <c r="M1183" s="59"/>
      <c r="N1183" s="62" t="str">
        <f>IF(LEN(M1183)&gt;0,IF(OR(ISLOGICAL(M1183),M1183="TRUE"),"Yes",""),"")</f>
      </c>
      <c r="O1183" s="59"/>
      <c r="P1183" s="62" t="str">
        <f>IF(LEN(O1183)&gt;0,IF(OR(ISLOGICAL(O1183),O1183="TRUE"),"Yes",""),"")</f>
      </c>
      <c r="Q1183" s="62" t="s">
        <v>98</v>
      </c>
      <c r="R1183" s="63"/>
    </row>
    <row r="1184" spans="1:18" s="47" customFormat="1" ht="51">
      <c r="A1184" s="63" t="s">
        <v>2442</v>
      </c>
      <c r="B1184" s="63" t="s">
        <v>96</v>
      </c>
      <c r="C1184" s="63" t="s">
        <v>2443</v>
      </c>
      <c r="D1184" s="61"/>
      <c r="E1184" s="45">
        <v>0.0235</v>
      </c>
      <c r="F1184" s="45">
        <v>0.0235</v>
      </c>
      <c r="G1184" s="66">
        <v>46092</v>
      </c>
      <c r="H1184" s="45" t="str">
        <f>IF(ISNUMBER(E1184),F1184-E1184,"N/A")</f>
        <v>N/A</v>
      </c>
      <c r="I1184" s="46" t="str">
        <f>IF(E1184&lt;&gt;"",IF(F1184=E1184,"No Change",IF(F1184&gt;E1184,"Increase","Decrease")),"New")</f>
        <v>Increase</v>
      </c>
      <c r="J1184" s="58"/>
      <c r="K1184" s="59" t="str">
        <f>IF(LEN(J1184)&gt;0,IF(OR(ISLOGICAL(J1184),J1184="TRUE"),"Yes",""),"")</f>
      </c>
      <c r="L1184" s="59"/>
      <c r="M1184" s="59"/>
      <c r="N1184" s="62" t="str">
        <f>IF(LEN(M1184)&gt;0,IF(OR(ISLOGICAL(M1184),M1184="TRUE"),"Yes",""),"")</f>
      </c>
      <c r="O1184" s="59"/>
      <c r="P1184" s="62" t="str">
        <f>IF(LEN(O1184)&gt;0,IF(OR(ISLOGICAL(O1184),O1184="TRUE"),"Yes",""),"")</f>
      </c>
      <c r="Q1184" s="62" t="s">
        <v>98</v>
      </c>
      <c r="R1184" s="63"/>
    </row>
    <row r="1185" spans="1:18" s="47" customFormat="1" ht="51">
      <c r="A1185" s="63" t="s">
        <v>2444</v>
      </c>
      <c r="B1185" s="63" t="s">
        <v>96</v>
      </c>
      <c r="C1185" s="63" t="s">
        <v>2445</v>
      </c>
      <c r="D1185" s="61"/>
      <c r="E1185" s="45">
        <v>0.0205</v>
      </c>
      <c r="F1185" s="45">
        <v>0.0205</v>
      </c>
      <c r="G1185" s="66">
        <v>46092</v>
      </c>
      <c r="H1185" s="45" t="str">
        <f>IF(ISNUMBER(E1185),F1185-E1185,"N/A")</f>
        <v>N/A</v>
      </c>
      <c r="I1185" s="46" t="str">
        <f>IF(E1185&lt;&gt;"",IF(F1185=E1185,"No Change",IF(F1185&gt;E1185,"Increase","Decrease")),"New")</f>
        <v>Increase</v>
      </c>
      <c r="J1185" s="58"/>
      <c r="K1185" s="59" t="str">
        <f>IF(LEN(J1185)&gt;0,IF(OR(ISLOGICAL(J1185),J1185="TRUE"),"Yes",""),"")</f>
      </c>
      <c r="L1185" s="59"/>
      <c r="M1185" s="59"/>
      <c r="N1185" s="62" t="str">
        <f>IF(LEN(M1185)&gt;0,IF(OR(ISLOGICAL(M1185),M1185="TRUE"),"Yes",""),"")</f>
      </c>
      <c r="O1185" s="59"/>
      <c r="P1185" s="62" t="str">
        <f>IF(LEN(O1185)&gt;0,IF(OR(ISLOGICAL(O1185),O1185="TRUE"),"Yes",""),"")</f>
      </c>
      <c r="Q1185" s="62" t="s">
        <v>98</v>
      </c>
      <c r="R1185" s="63"/>
    </row>
    <row r="1186" spans="1:18" s="47" customFormat="1" ht="51">
      <c r="A1186" s="63" t="s">
        <v>2446</v>
      </c>
      <c r="B1186" s="63" t="s">
        <v>96</v>
      </c>
      <c r="C1186" s="63" t="s">
        <v>2447</v>
      </c>
      <c r="D1186" s="61"/>
      <c r="E1186" s="45">
        <v>0.1835</v>
      </c>
      <c r="F1186" s="45">
        <v>0.1835</v>
      </c>
      <c r="G1186" s="66">
        <v>46064</v>
      </c>
      <c r="H1186" s="45" t="str">
        <f>IF(ISNUMBER(E1186),F1186-E1186,"N/A")</f>
        <v>N/A</v>
      </c>
      <c r="I1186" s="46" t="str">
        <f>IF(E1186&lt;&gt;"",IF(F1186=E1186,"No Change",IF(F1186&gt;E1186,"Increase","Decrease")),"New")</f>
        <v>Increase</v>
      </c>
      <c r="J1186" s="58" t="s">
        <v>122</v>
      </c>
      <c r="K1186" s="59" t="str">
        <f>IF(LEN(J1186)&gt;0,IF(OR(ISLOGICAL(J1186),J1186="TRUE"),"Yes",""),"")</f>
      </c>
      <c r="L1186" s="59"/>
      <c r="M1186" s="59"/>
      <c r="N1186" s="62" t="str">
        <f>IF(LEN(M1186)&gt;0,IF(OR(ISLOGICAL(M1186),M1186="TRUE"),"Yes",""),"")</f>
      </c>
      <c r="O1186" s="59"/>
      <c r="P1186" s="62" t="str">
        <f>IF(LEN(O1186)&gt;0,IF(OR(ISLOGICAL(O1186),O1186="TRUE"),"Yes",""),"")</f>
      </c>
      <c r="Q1186" s="62" t="s">
        <v>98</v>
      </c>
      <c r="R1186" s="63"/>
    </row>
    <row r="1187" spans="1:18" s="47" customFormat="1" ht="51">
      <c r="A1187" s="63" t="s">
        <v>2448</v>
      </c>
      <c r="B1187" s="63" t="s">
        <v>96</v>
      </c>
      <c r="C1187" s="63" t="s">
        <v>2449</v>
      </c>
      <c r="D1187" s="61"/>
      <c r="E1187" s="45">
        <v>0.185</v>
      </c>
      <c r="F1187" s="45">
        <v>0.185</v>
      </c>
      <c r="G1187" s="66">
        <v>46143</v>
      </c>
      <c r="H1187" s="45" t="str">
        <f>IF(ISNUMBER(E1187),F1187-E1187,"N/A")</f>
        <v>N/A</v>
      </c>
      <c r="I1187" s="46" t="str">
        <f>IF(E1187&lt;&gt;"",IF(F1187=E1187,"No Change",IF(F1187&gt;E1187,"Increase","Decrease")),"New")</f>
        <v>Increase</v>
      </c>
      <c r="J1187" s="58"/>
      <c r="K1187" s="59" t="str">
        <f>IF(LEN(J1187)&gt;0,IF(OR(ISLOGICAL(J1187),J1187="TRUE"),"Yes",""),"")</f>
      </c>
      <c r="L1187" s="59"/>
      <c r="M1187" s="59"/>
      <c r="N1187" s="62" t="str">
        <f>IF(LEN(M1187)&gt;0,IF(OR(ISLOGICAL(M1187),M1187="TRUE"),"Yes",""),"")</f>
      </c>
      <c r="O1187" s="59"/>
      <c r="P1187" s="62" t="str">
        <f>IF(LEN(O1187)&gt;0,IF(OR(ISLOGICAL(O1187),O1187="TRUE"),"Yes",""),"")</f>
      </c>
      <c r="Q1187" s="62" t="s">
        <v>98</v>
      </c>
      <c r="R1187" s="63"/>
    </row>
    <row r="1188" spans="1:18" s="47" customFormat="1" ht="51">
      <c r="A1188" s="63" t="s">
        <v>2450</v>
      </c>
      <c r="B1188" s="63" t="s">
        <v>96</v>
      </c>
      <c r="C1188" s="63" t="s">
        <v>2451</v>
      </c>
      <c r="D1188" s="61"/>
      <c r="E1188" s="45">
        <v>0.18</v>
      </c>
      <c r="F1188" s="45">
        <v>0.18</v>
      </c>
      <c r="G1188" s="66">
        <v>46143</v>
      </c>
      <c r="H1188" s="45" t="str">
        <f>IF(ISNUMBER(E1188),F1188-E1188,"N/A")</f>
        <v>N/A</v>
      </c>
      <c r="I1188" s="46" t="str">
        <f>IF(E1188&lt;&gt;"",IF(F1188=E1188,"No Change",IF(F1188&gt;E1188,"Increase","Decrease")),"New")</f>
        <v>Increase</v>
      </c>
      <c r="J1188" s="58"/>
      <c r="K1188" s="59" t="str">
        <f>IF(LEN(J1188)&gt;0,IF(OR(ISLOGICAL(J1188),J1188="TRUE"),"Yes",""),"")</f>
      </c>
      <c r="L1188" s="59"/>
      <c r="M1188" s="59"/>
      <c r="N1188" s="62" t="str">
        <f>IF(LEN(M1188)&gt;0,IF(OR(ISLOGICAL(M1188),M1188="TRUE"),"Yes",""),"")</f>
      </c>
      <c r="O1188" s="59"/>
      <c r="P1188" s="62" t="str">
        <f>IF(LEN(O1188)&gt;0,IF(OR(ISLOGICAL(O1188),O1188="TRUE"),"Yes",""),"")</f>
      </c>
      <c r="Q1188" s="62" t="s">
        <v>98</v>
      </c>
      <c r="R1188" s="63"/>
    </row>
    <row r="1189" spans="1:18" s="47" customFormat="1" ht="51">
      <c r="A1189" s="63" t="s">
        <v>2452</v>
      </c>
      <c r="B1189" s="63" t="s">
        <v>96</v>
      </c>
      <c r="C1189" s="63" t="s">
        <v>2453</v>
      </c>
      <c r="D1189" s="61"/>
      <c r="E1189" s="45">
        <v>0.269</v>
      </c>
      <c r="F1189" s="45">
        <v>0.269</v>
      </c>
      <c r="G1189" s="66">
        <v>45658</v>
      </c>
      <c r="H1189" s="45" t="str">
        <f>IF(ISNUMBER(E1189),F1189-E1189,"N/A")</f>
        <v>N/A</v>
      </c>
      <c r="I1189" s="46" t="str">
        <f>IF(E1189&lt;&gt;"",IF(F1189=E1189,"No Change",IF(F1189&gt;E1189,"Increase","Decrease")),"New")</f>
        <v>Increase</v>
      </c>
      <c r="J1189" s="58" t="s">
        <v>122</v>
      </c>
      <c r="K1189" s="59" t="str">
        <f>IF(LEN(J1189)&gt;0,IF(OR(ISLOGICAL(J1189),J1189="TRUE"),"Yes",""),"")</f>
      </c>
      <c r="L1189" s="59"/>
      <c r="M1189" s="59"/>
      <c r="N1189" s="62" t="str">
        <f>IF(LEN(M1189)&gt;0,IF(OR(ISLOGICAL(M1189),M1189="TRUE"),"Yes",""),"")</f>
      </c>
      <c r="O1189" s="59"/>
      <c r="P1189" s="62" t="str">
        <f>IF(LEN(O1189)&gt;0,IF(OR(ISLOGICAL(O1189),O1189="TRUE"),"Yes",""),"")</f>
      </c>
      <c r="Q1189" s="62" t="s">
        <v>98</v>
      </c>
      <c r="R1189" s="63"/>
    </row>
    <row r="1190" spans="1:18" s="47" customFormat="1" ht="51">
      <c r="A1190" s="63" t="s">
        <v>2454</v>
      </c>
      <c r="B1190" s="63" t="s">
        <v>96</v>
      </c>
      <c r="C1190" s="63" t="s">
        <v>2455</v>
      </c>
      <c r="D1190" s="61"/>
      <c r="E1190" s="45">
        <v>0.2</v>
      </c>
      <c r="F1190" s="45">
        <v>0.2</v>
      </c>
      <c r="G1190" s="66">
        <v>45756</v>
      </c>
      <c r="H1190" s="45" t="str">
        <f>IF(ISNUMBER(E1190),F1190-E1190,"N/A")</f>
        <v>N/A</v>
      </c>
      <c r="I1190" s="46" t="str">
        <f>IF(E1190&lt;&gt;"",IF(F1190=E1190,"No Change",IF(F1190&gt;E1190,"Increase","Decrease")),"New")</f>
        <v>Increase</v>
      </c>
      <c r="J1190" s="58" t="s">
        <v>122</v>
      </c>
      <c r="K1190" s="59" t="str">
        <f>IF(LEN(J1190)&gt;0,IF(OR(ISLOGICAL(J1190),J1190="TRUE"),"Yes",""),"")</f>
      </c>
      <c r="L1190" s="59"/>
      <c r="M1190" s="59"/>
      <c r="N1190" s="62" t="str">
        <f>IF(LEN(M1190)&gt;0,IF(OR(ISLOGICAL(M1190),M1190="TRUE"),"Yes",""),"")</f>
      </c>
      <c r="O1190" s="59"/>
      <c r="P1190" s="62" t="str">
        <f>IF(LEN(O1190)&gt;0,IF(OR(ISLOGICAL(O1190),O1190="TRUE"),"Yes",""),"")</f>
      </c>
      <c r="Q1190" s="62" t="s">
        <v>98</v>
      </c>
      <c r="R1190" s="63"/>
    </row>
    <row r="1191" spans="1:18" s="47" customFormat="1" ht="51">
      <c r="A1191" s="63" t="s">
        <v>2456</v>
      </c>
      <c r="B1191" s="63" t="s">
        <v>96</v>
      </c>
      <c r="C1191" s="63" t="s">
        <v>2457</v>
      </c>
      <c r="D1191" s="61"/>
      <c r="E1191" s="45">
        <v>0.185</v>
      </c>
      <c r="F1191" s="45">
        <v>0.185</v>
      </c>
      <c r="G1191" s="66">
        <v>46143</v>
      </c>
      <c r="H1191" s="45" t="str">
        <f>IF(ISNUMBER(E1191),F1191-E1191,"N/A")</f>
        <v>N/A</v>
      </c>
      <c r="I1191" s="46" t="str">
        <f>IF(E1191&lt;&gt;"",IF(F1191=E1191,"No Change",IF(F1191&gt;E1191,"Increase","Decrease")),"New")</f>
        <v>Increase</v>
      </c>
      <c r="J1191" s="58" t="s">
        <v>122</v>
      </c>
      <c r="K1191" s="59" t="str">
        <f>IF(LEN(J1191)&gt;0,IF(OR(ISLOGICAL(J1191),J1191="TRUE"),"Yes",""),"")</f>
      </c>
      <c r="L1191" s="59"/>
      <c r="M1191" s="59"/>
      <c r="N1191" s="62" t="str">
        <f>IF(LEN(M1191)&gt;0,IF(OR(ISLOGICAL(M1191),M1191="TRUE"),"Yes",""),"")</f>
      </c>
      <c r="O1191" s="59"/>
      <c r="P1191" s="62" t="str">
        <f>IF(LEN(O1191)&gt;0,IF(OR(ISLOGICAL(O1191),O1191="TRUE"),"Yes",""),"")</f>
      </c>
      <c r="Q1191" s="62" t="s">
        <v>98</v>
      </c>
      <c r="R1191" s="63"/>
    </row>
    <row r="1192" spans="1:18" s="47" customFormat="1" ht="51">
      <c r="A1192" s="63" t="s">
        <v>2458</v>
      </c>
      <c r="B1192" s="63" t="s">
        <v>96</v>
      </c>
      <c r="C1192" s="63" t="s">
        <v>2459</v>
      </c>
      <c r="D1192" s="61"/>
      <c r="E1192" s="45">
        <v>0.217</v>
      </c>
      <c r="F1192" s="45">
        <v>0.217</v>
      </c>
      <c r="G1192" s="66">
        <v>46143</v>
      </c>
      <c r="H1192" s="45" t="str">
        <f>IF(ISNUMBER(E1192),F1192-E1192,"N/A")</f>
        <v>N/A</v>
      </c>
      <c r="I1192" s="46" t="str">
        <f>IF(E1192&lt;&gt;"",IF(F1192=E1192,"No Change",IF(F1192&gt;E1192,"Increase","Decrease")),"New")</f>
        <v>Increase</v>
      </c>
      <c r="J1192" s="58"/>
      <c r="K1192" s="59" t="str">
        <f>IF(LEN(J1192)&gt;0,IF(OR(ISLOGICAL(J1192),J1192="TRUE"),"Yes",""),"")</f>
      </c>
      <c r="L1192" s="59"/>
      <c r="M1192" s="59"/>
      <c r="N1192" s="62" t="str">
        <f>IF(LEN(M1192)&gt;0,IF(OR(ISLOGICAL(M1192),M1192="TRUE"),"Yes",""),"")</f>
      </c>
      <c r="O1192" s="59"/>
      <c r="P1192" s="62" t="str">
        <f>IF(LEN(O1192)&gt;0,IF(OR(ISLOGICAL(O1192),O1192="TRUE"),"Yes",""),"")</f>
      </c>
      <c r="Q1192" s="62" t="s">
        <v>98</v>
      </c>
      <c r="R1192" s="63"/>
    </row>
    <row r="1193" spans="1:18" s="47" customFormat="1" ht="51">
      <c r="A1193" s="63" t="s">
        <v>2460</v>
      </c>
      <c r="B1193" s="63" t="s">
        <v>96</v>
      </c>
      <c r="C1193" s="63" t="s">
        <v>2461</v>
      </c>
      <c r="D1193" s="61"/>
      <c r="E1193" s="45">
        <v>0.0198</v>
      </c>
      <c r="F1193" s="45">
        <v>0.0198</v>
      </c>
      <c r="G1193" s="66">
        <v>45987</v>
      </c>
      <c r="H1193" s="45" t="str">
        <f>IF(ISNUMBER(E1193),F1193-E1193,"N/A")</f>
        <v>N/A</v>
      </c>
      <c r="I1193" s="46" t="str">
        <f>IF(E1193&lt;&gt;"",IF(F1193=E1193,"No Change",IF(F1193&gt;E1193,"Increase","Decrease")),"New")</f>
        <v>Increase</v>
      </c>
      <c r="J1193" s="58"/>
      <c r="K1193" s="59" t="str">
        <f>IF(LEN(J1193)&gt;0,IF(OR(ISLOGICAL(J1193),J1193="TRUE"),"Yes",""),"")</f>
      </c>
      <c r="L1193" s="59"/>
      <c r="M1193" s="59"/>
      <c r="N1193" s="62" t="str">
        <f>IF(LEN(M1193)&gt;0,IF(OR(ISLOGICAL(M1193),M1193="TRUE"),"Yes",""),"")</f>
      </c>
      <c r="O1193" s="59"/>
      <c r="P1193" s="62" t="str">
        <f>IF(LEN(O1193)&gt;0,IF(OR(ISLOGICAL(O1193),O1193="TRUE"),"Yes",""),"")</f>
      </c>
      <c r="Q1193" s="62" t="s">
        <v>98</v>
      </c>
      <c r="R1193" s="63"/>
    </row>
    <row r="1194" spans="1:18" s="47" customFormat="1" ht="51">
      <c r="A1194" s="63" t="s">
        <v>2462</v>
      </c>
      <c r="B1194" s="63" t="s">
        <v>96</v>
      </c>
      <c r="C1194" s="63" t="s">
        <v>2463</v>
      </c>
      <c r="D1194" s="61"/>
      <c r="E1194" s="45">
        <v>0.157</v>
      </c>
      <c r="F1194" s="45">
        <v>0.157</v>
      </c>
      <c r="G1194" s="66">
        <v>46074</v>
      </c>
      <c r="H1194" s="45" t="str">
        <f>IF(ISNUMBER(E1194),F1194-E1194,"N/A")</f>
        <v>N/A</v>
      </c>
      <c r="I1194" s="46" t="str">
        <f>IF(E1194&lt;&gt;"",IF(F1194=E1194,"No Change",IF(F1194&gt;E1194,"Increase","Decrease")),"New")</f>
        <v>Increase</v>
      </c>
      <c r="J1194" s="58"/>
      <c r="K1194" s="59" t="str">
        <f>IF(LEN(J1194)&gt;0,IF(OR(ISLOGICAL(J1194),J1194="TRUE"),"Yes",""),"")</f>
      </c>
      <c r="L1194" s="59"/>
      <c r="M1194" s="59"/>
      <c r="N1194" s="62" t="str">
        <f>IF(LEN(M1194)&gt;0,IF(OR(ISLOGICAL(M1194),M1194="TRUE"),"Yes",""),"")</f>
      </c>
      <c r="O1194" s="59"/>
      <c r="P1194" s="62" t="str">
        <f>IF(LEN(O1194)&gt;0,IF(OR(ISLOGICAL(O1194),O1194="TRUE"),"Yes",""),"")</f>
      </c>
      <c r="Q1194" s="62" t="s">
        <v>98</v>
      </c>
      <c r="R1194" s="63"/>
    </row>
    <row r="1195" spans="1:18" s="47" customFormat="1" ht="51">
      <c r="A1195" s="63" t="s">
        <v>2464</v>
      </c>
      <c r="B1195" s="63" t="s">
        <v>96</v>
      </c>
      <c r="C1195" s="63" t="s">
        <v>2465</v>
      </c>
      <c r="D1195" s="61"/>
      <c r="E1195" s="45">
        <v>0.207</v>
      </c>
      <c r="F1195" s="45">
        <v>0.207</v>
      </c>
      <c r="G1195" s="66">
        <v>46082</v>
      </c>
      <c r="H1195" s="45" t="str">
        <f>IF(ISNUMBER(E1195),F1195-E1195,"N/A")</f>
        <v>N/A</v>
      </c>
      <c r="I1195" s="46" t="str">
        <f>IF(E1195&lt;&gt;"",IF(F1195=E1195,"No Change",IF(F1195&gt;E1195,"Increase","Decrease")),"New")</f>
        <v>Increase</v>
      </c>
      <c r="J1195" s="58" t="s">
        <v>122</v>
      </c>
      <c r="K1195" s="59" t="str">
        <f>IF(LEN(J1195)&gt;0,IF(OR(ISLOGICAL(J1195),J1195="TRUE"),"Yes",""),"")</f>
      </c>
      <c r="L1195" s="59"/>
      <c r="M1195" s="59"/>
      <c r="N1195" s="62" t="str">
        <f>IF(LEN(M1195)&gt;0,IF(OR(ISLOGICAL(M1195),M1195="TRUE"),"Yes",""),"")</f>
      </c>
      <c r="O1195" s="59"/>
      <c r="P1195" s="62" t="str">
        <f>IF(LEN(O1195)&gt;0,IF(OR(ISLOGICAL(O1195),O1195="TRUE"),"Yes",""),"")</f>
      </c>
      <c r="Q1195" s="62" t="s">
        <v>98</v>
      </c>
      <c r="R1195" s="63"/>
    </row>
    <row r="1196" spans="1:18" s="47" customFormat="1" ht="51">
      <c r="A1196" s="63" t="s">
        <v>2466</v>
      </c>
      <c r="B1196" s="63" t="s">
        <v>96</v>
      </c>
      <c r="C1196" s="63" t="s">
        <v>2467</v>
      </c>
      <c r="D1196" s="61"/>
      <c r="E1196" s="45">
        <v>0.235</v>
      </c>
      <c r="F1196" s="45">
        <v>0.235</v>
      </c>
      <c r="G1196" s="66">
        <v>46078</v>
      </c>
      <c r="H1196" s="45" t="str">
        <f>IF(ISNUMBER(E1196),F1196-E1196,"N/A")</f>
        <v>N/A</v>
      </c>
      <c r="I1196" s="46" t="str">
        <f>IF(E1196&lt;&gt;"",IF(F1196=E1196,"No Change",IF(F1196&gt;E1196,"Increase","Decrease")),"New")</f>
        <v>Increase</v>
      </c>
      <c r="J1196" s="58"/>
      <c r="K1196" s="59" t="str">
        <f>IF(LEN(J1196)&gt;0,IF(OR(ISLOGICAL(J1196),J1196="TRUE"),"Yes",""),"")</f>
      </c>
      <c r="L1196" s="59"/>
      <c r="M1196" s="59"/>
      <c r="N1196" s="62" t="str">
        <f>IF(LEN(M1196)&gt;0,IF(OR(ISLOGICAL(M1196),M1196="TRUE"),"Yes",""),"")</f>
      </c>
      <c r="O1196" s="59"/>
      <c r="P1196" s="62" t="str">
        <f>IF(LEN(O1196)&gt;0,IF(OR(ISLOGICAL(O1196),O1196="TRUE"),"Yes",""),"")</f>
      </c>
      <c r="Q1196" s="62" t="s">
        <v>98</v>
      </c>
      <c r="R1196" s="63"/>
    </row>
    <row r="1197" spans="1:18" s="47" customFormat="1" ht="51">
      <c r="A1197" s="63" t="s">
        <v>2468</v>
      </c>
      <c r="B1197" s="63" t="s">
        <v>96</v>
      </c>
      <c r="C1197" s="63" t="s">
        <v>2469</v>
      </c>
      <c r="D1197" s="61"/>
      <c r="E1197" s="45">
        <v>0.235</v>
      </c>
      <c r="F1197" s="45">
        <v>0.235</v>
      </c>
      <c r="G1197" s="66">
        <v>46082</v>
      </c>
      <c r="H1197" s="45" t="str">
        <f>IF(ISNUMBER(E1197),F1197-E1197,"N/A")</f>
        <v>N/A</v>
      </c>
      <c r="I1197" s="46" t="str">
        <f>IF(E1197&lt;&gt;"",IF(F1197=E1197,"No Change",IF(F1197&gt;E1197,"Increase","Decrease")),"New")</f>
        <v>Increase</v>
      </c>
      <c r="J1197" s="58"/>
      <c r="K1197" s="59" t="str">
        <f>IF(LEN(J1197)&gt;0,IF(OR(ISLOGICAL(J1197),J1197="TRUE"),"Yes",""),"")</f>
      </c>
      <c r="L1197" s="59"/>
      <c r="M1197" s="59"/>
      <c r="N1197" s="62" t="str">
        <f>IF(LEN(M1197)&gt;0,IF(OR(ISLOGICAL(M1197),M1197="TRUE"),"Yes",""),"")</f>
      </c>
      <c r="O1197" s="59"/>
      <c r="P1197" s="62" t="str">
        <f>IF(LEN(O1197)&gt;0,IF(OR(ISLOGICAL(O1197),O1197="TRUE"),"Yes",""),"")</f>
      </c>
      <c r="Q1197" s="62" t="s">
        <v>98</v>
      </c>
      <c r="R1197" s="63"/>
    </row>
    <row r="1198" spans="1:18" s="47" customFormat="1" ht="51">
      <c r="A1198" s="63" t="s">
        <v>2470</v>
      </c>
      <c r="B1198" s="63" t="s">
        <v>96</v>
      </c>
      <c r="C1198" s="63" t="s">
        <v>2471</v>
      </c>
      <c r="D1198" s="61"/>
      <c r="E1198" s="45">
        <v>0.235</v>
      </c>
      <c r="F1198" s="45">
        <v>0.235</v>
      </c>
      <c r="G1198" s="66">
        <v>46082</v>
      </c>
      <c r="H1198" s="45" t="str">
        <f>IF(ISNUMBER(E1198),F1198-E1198,"N/A")</f>
        <v>N/A</v>
      </c>
      <c r="I1198" s="46" t="str">
        <f>IF(E1198&lt;&gt;"",IF(F1198=E1198,"No Change",IF(F1198&gt;E1198,"Increase","Decrease")),"New")</f>
        <v>Increase</v>
      </c>
      <c r="J1198" s="58"/>
      <c r="K1198" s="59" t="str">
        <f>IF(LEN(J1198)&gt;0,IF(OR(ISLOGICAL(J1198),J1198="TRUE"),"Yes",""),"")</f>
      </c>
      <c r="L1198" s="59"/>
      <c r="M1198" s="59"/>
      <c r="N1198" s="62" t="str">
        <f>IF(LEN(M1198)&gt;0,IF(OR(ISLOGICAL(M1198),M1198="TRUE"),"Yes",""),"")</f>
      </c>
      <c r="O1198" s="59"/>
      <c r="P1198" s="62" t="str">
        <f>IF(LEN(O1198)&gt;0,IF(OR(ISLOGICAL(O1198),O1198="TRUE"),"Yes",""),"")</f>
      </c>
      <c r="Q1198" s="62" t="s">
        <v>98</v>
      </c>
      <c r="R1198" s="63"/>
    </row>
    <row r="1199" spans="1:18" s="47" customFormat="1" ht="51">
      <c r="A1199" s="63" t="s">
        <v>2472</v>
      </c>
      <c r="B1199" s="63" t="s">
        <v>96</v>
      </c>
      <c r="C1199" s="63" t="s">
        <v>2473</v>
      </c>
      <c r="D1199" s="61"/>
      <c r="E1199" s="45">
        <v>1.3001</v>
      </c>
      <c r="F1199" s="45">
        <v>1.3001</v>
      </c>
      <c r="G1199" s="66">
        <v>44013</v>
      </c>
      <c r="H1199" s="45" t="str">
        <f>IF(ISNUMBER(E1199),F1199-E1199,"N/A")</f>
        <v>N/A</v>
      </c>
      <c r="I1199" s="46" t="str">
        <f>IF(E1199&lt;&gt;"",IF(F1199=E1199,"No Change",IF(F1199&gt;E1199,"Increase","Decrease")),"New")</f>
        <v>Increase</v>
      </c>
      <c r="J1199" s="58"/>
      <c r="K1199" s="59" t="str">
        <f>IF(LEN(J1199)&gt;0,IF(OR(ISLOGICAL(J1199),J1199="TRUE"),"Yes",""),"")</f>
      </c>
      <c r="L1199" s="59"/>
      <c r="M1199" s="59"/>
      <c r="N1199" s="62" t="str">
        <f>IF(LEN(M1199)&gt;0,IF(OR(ISLOGICAL(M1199),M1199="TRUE"),"Yes",""),"")</f>
      </c>
      <c r="O1199" s="59"/>
      <c r="P1199" s="62" t="str">
        <f>IF(LEN(O1199)&gt;0,IF(OR(ISLOGICAL(O1199),O1199="TRUE"),"Yes",""),"")</f>
      </c>
      <c r="Q1199" s="62" t="s">
        <v>109</v>
      </c>
      <c r="R1199" s="63"/>
    </row>
    <row r="1200" spans="1:18" s="47" customFormat="1" ht="51">
      <c r="A1200" s="63" t="s">
        <v>2474</v>
      </c>
      <c r="B1200" s="63" t="s">
        <v>96</v>
      </c>
      <c r="C1200" s="63" t="s">
        <v>2475</v>
      </c>
      <c r="D1200" s="61"/>
      <c r="E1200" s="45">
        <v>0.25</v>
      </c>
      <c r="F1200" s="45">
        <v>0.25</v>
      </c>
      <c r="G1200" s="66">
        <v>46143</v>
      </c>
      <c r="H1200" s="45" t="str">
        <f>IF(ISNUMBER(E1200),F1200-E1200,"N/A")</f>
        <v>N/A</v>
      </c>
      <c r="I1200" s="46" t="str">
        <f>IF(E1200&lt;&gt;"",IF(F1200=E1200,"No Change",IF(F1200&gt;E1200,"Increase","Decrease")),"New")</f>
        <v>Increase</v>
      </c>
      <c r="J1200" s="58"/>
      <c r="K1200" s="59" t="str">
        <f>IF(LEN(J1200)&gt;0,IF(OR(ISLOGICAL(J1200),J1200="TRUE"),"Yes",""),"")</f>
      </c>
      <c r="L1200" s="59"/>
      <c r="M1200" s="59"/>
      <c r="N1200" s="62" t="str">
        <f>IF(LEN(M1200)&gt;0,IF(OR(ISLOGICAL(M1200),M1200="TRUE"),"Yes",""),"")</f>
      </c>
      <c r="O1200" s="59"/>
      <c r="P1200" s="62" t="str">
        <f>IF(LEN(O1200)&gt;0,IF(OR(ISLOGICAL(O1200),O1200="TRUE"),"Yes",""),"")</f>
      </c>
      <c r="Q1200" s="62" t="s">
        <v>109</v>
      </c>
      <c r="R1200" s="63"/>
    </row>
    <row r="1201" spans="1:18" s="47" customFormat="1" ht="51">
      <c r="A1201" s="63" t="s">
        <v>2476</v>
      </c>
      <c r="B1201" s="63" t="s">
        <v>96</v>
      </c>
      <c r="C1201" s="63" t="s">
        <v>2477</v>
      </c>
      <c r="D1201" s="61"/>
      <c r="E1201" s="45">
        <v>0.255</v>
      </c>
      <c r="F1201" s="45">
        <v>0.255</v>
      </c>
      <c r="G1201" s="66">
        <v>46143</v>
      </c>
      <c r="H1201" s="45" t="str">
        <f>IF(ISNUMBER(E1201),F1201-E1201,"N/A")</f>
        <v>N/A</v>
      </c>
      <c r="I1201" s="46" t="str">
        <f>IF(E1201&lt;&gt;"",IF(F1201=E1201,"No Change",IF(F1201&gt;E1201,"Increase","Decrease")),"New")</f>
        <v>Increase</v>
      </c>
      <c r="J1201" s="58" t="s">
        <v>122</v>
      </c>
      <c r="K1201" s="59" t="str">
        <f>IF(LEN(J1201)&gt;0,IF(OR(ISLOGICAL(J1201),J1201="TRUE"),"Yes",""),"")</f>
      </c>
      <c r="L1201" s="59"/>
      <c r="M1201" s="59"/>
      <c r="N1201" s="62" t="str">
        <f>IF(LEN(M1201)&gt;0,IF(OR(ISLOGICAL(M1201),M1201="TRUE"),"Yes",""),"")</f>
      </c>
      <c r="O1201" s="59"/>
      <c r="P1201" s="62" t="str">
        <f>IF(LEN(O1201)&gt;0,IF(OR(ISLOGICAL(O1201),O1201="TRUE"),"Yes",""),"")</f>
      </c>
      <c r="Q1201" s="62" t="s">
        <v>98</v>
      </c>
      <c r="R1201" s="63"/>
    </row>
    <row r="1202" spans="1:18" s="47" customFormat="1" ht="51">
      <c r="A1202" s="63" t="s">
        <v>2478</v>
      </c>
      <c r="B1202" s="63" t="s">
        <v>96</v>
      </c>
      <c r="C1202" s="63" t="s">
        <v>2479</v>
      </c>
      <c r="D1202" s="61"/>
      <c r="E1202" s="45">
        <v>0.3</v>
      </c>
      <c r="F1202" s="45">
        <v>0.3</v>
      </c>
      <c r="G1202" s="66">
        <v>46113</v>
      </c>
      <c r="H1202" s="45" t="str">
        <f>IF(ISNUMBER(E1202),F1202-E1202,"N/A")</f>
        <v>N/A</v>
      </c>
      <c r="I1202" s="46" t="str">
        <f>IF(E1202&lt;&gt;"",IF(F1202=E1202,"No Change",IF(F1202&gt;E1202,"Increase","Decrease")),"New")</f>
        <v>Increase</v>
      </c>
      <c r="J1202" s="58" t="s">
        <v>122</v>
      </c>
      <c r="K1202" s="59" t="str">
        <f>IF(LEN(J1202)&gt;0,IF(OR(ISLOGICAL(J1202),J1202="TRUE"),"Yes",""),"")</f>
      </c>
      <c r="L1202" s="59"/>
      <c r="M1202" s="59"/>
      <c r="N1202" s="62" t="str">
        <f>IF(LEN(M1202)&gt;0,IF(OR(ISLOGICAL(M1202),M1202="TRUE"),"Yes",""),"")</f>
      </c>
      <c r="O1202" s="59"/>
      <c r="P1202" s="62" t="str">
        <f>IF(LEN(O1202)&gt;0,IF(OR(ISLOGICAL(O1202),O1202="TRUE"),"Yes",""),"")</f>
      </c>
      <c r="Q1202" s="62" t="s">
        <v>109</v>
      </c>
      <c r="R1202" s="63"/>
    </row>
    <row r="1203" spans="1:18" s="47" customFormat="1" ht="51">
      <c r="A1203" s="63" t="s">
        <v>2480</v>
      </c>
      <c r="B1203" s="63" t="s">
        <v>96</v>
      </c>
      <c r="C1203" s="63" t="s">
        <v>2481</v>
      </c>
      <c r="D1203" s="61"/>
      <c r="E1203" s="45">
        <v>0.28</v>
      </c>
      <c r="F1203" s="45">
        <v>0.28</v>
      </c>
      <c r="G1203" s="66">
        <v>46082</v>
      </c>
      <c r="H1203" s="45" t="str">
        <f>IF(ISNUMBER(E1203),F1203-E1203,"N/A")</f>
        <v>N/A</v>
      </c>
      <c r="I1203" s="46" t="str">
        <f>IF(E1203&lt;&gt;"",IF(F1203=E1203,"No Change",IF(F1203&gt;E1203,"Increase","Decrease")),"New")</f>
        <v>Increase</v>
      </c>
      <c r="J1203" s="58"/>
      <c r="K1203" s="59" t="str">
        <f>IF(LEN(J1203)&gt;0,IF(OR(ISLOGICAL(J1203),J1203="TRUE"),"Yes",""),"")</f>
      </c>
      <c r="L1203" s="59"/>
      <c r="M1203" s="59"/>
      <c r="N1203" s="62" t="str">
        <f>IF(LEN(M1203)&gt;0,IF(OR(ISLOGICAL(M1203),M1203="TRUE"),"Yes",""),"")</f>
      </c>
      <c r="O1203" s="59"/>
      <c r="P1203" s="62" t="str">
        <f>IF(LEN(O1203)&gt;0,IF(OR(ISLOGICAL(O1203),O1203="TRUE"),"Yes",""),"")</f>
      </c>
      <c r="Q1203" s="62" t="s">
        <v>98</v>
      </c>
      <c r="R1203" s="63"/>
    </row>
    <row r="1204" spans="1:18" s="47" customFormat="1" ht="51">
      <c r="A1204" s="63" t="s">
        <v>2482</v>
      </c>
      <c r="B1204" s="63" t="s">
        <v>96</v>
      </c>
      <c r="C1204" s="63" t="s">
        <v>2483</v>
      </c>
      <c r="D1204" s="61"/>
      <c r="E1204" s="45">
        <v>0.28</v>
      </c>
      <c r="F1204" s="45">
        <v>0.28</v>
      </c>
      <c r="G1204" s="66">
        <v>46008</v>
      </c>
      <c r="H1204" s="45" t="str">
        <f>IF(ISNUMBER(E1204),F1204-E1204,"N/A")</f>
        <v>N/A</v>
      </c>
      <c r="I1204" s="46" t="str">
        <f>IF(E1204&lt;&gt;"",IF(F1204=E1204,"No Change",IF(F1204&gt;E1204,"Increase","Decrease")),"New")</f>
        <v>Increase</v>
      </c>
      <c r="J1204" s="58" t="s">
        <v>122</v>
      </c>
      <c r="K1204" s="59" t="str">
        <f>IF(LEN(J1204)&gt;0,IF(OR(ISLOGICAL(J1204),J1204="TRUE"),"Yes",""),"")</f>
      </c>
      <c r="L1204" s="59"/>
      <c r="M1204" s="59"/>
      <c r="N1204" s="62" t="str">
        <f>IF(LEN(M1204)&gt;0,IF(OR(ISLOGICAL(M1204),M1204="TRUE"),"Yes",""),"")</f>
      </c>
      <c r="O1204" s="59"/>
      <c r="P1204" s="62" t="str">
        <f>IF(LEN(O1204)&gt;0,IF(OR(ISLOGICAL(O1204),O1204="TRUE"),"Yes",""),"")</f>
      </c>
      <c r="Q1204" s="62" t="s">
        <v>98</v>
      </c>
      <c r="R1204" s="63"/>
    </row>
    <row r="1205" spans="1:18" s="47" customFormat="1" ht="51">
      <c r="A1205" s="63" t="s">
        <v>2484</v>
      </c>
      <c r="B1205" s="63" t="s">
        <v>96</v>
      </c>
      <c r="C1205" s="63" t="s">
        <v>2485</v>
      </c>
      <c r="D1205" s="61"/>
      <c r="E1205" s="45">
        <v>0.36</v>
      </c>
      <c r="F1205" s="45">
        <v>0.36</v>
      </c>
      <c r="G1205" s="66">
        <v>46082</v>
      </c>
      <c r="H1205" s="45" t="str">
        <f>IF(ISNUMBER(E1205),F1205-E1205,"N/A")</f>
        <v>N/A</v>
      </c>
      <c r="I1205" s="46" t="str">
        <f>IF(E1205&lt;&gt;"",IF(F1205=E1205,"No Change",IF(F1205&gt;E1205,"Increase","Decrease")),"New")</f>
        <v>Increase</v>
      </c>
      <c r="J1205" s="58"/>
      <c r="K1205" s="59" t="str">
        <f>IF(LEN(J1205)&gt;0,IF(OR(ISLOGICAL(J1205),J1205="TRUE"),"Yes",""),"")</f>
      </c>
      <c r="L1205" s="59"/>
      <c r="M1205" s="59"/>
      <c r="N1205" s="62" t="str">
        <f>IF(LEN(M1205)&gt;0,IF(OR(ISLOGICAL(M1205),M1205="TRUE"),"Yes",""),"")</f>
      </c>
      <c r="O1205" s="59"/>
      <c r="P1205" s="62" t="str">
        <f>IF(LEN(O1205)&gt;0,IF(OR(ISLOGICAL(O1205),O1205="TRUE"),"Yes",""),"")</f>
      </c>
      <c r="Q1205" s="62" t="s">
        <v>98</v>
      </c>
      <c r="R1205" s="63"/>
    </row>
    <row r="1206" spans="1:18" s="47" customFormat="1" ht="51">
      <c r="A1206" s="63" t="s">
        <v>2486</v>
      </c>
      <c r="B1206" s="63" t="s">
        <v>96</v>
      </c>
      <c r="C1206" s="63" t="s">
        <v>2487</v>
      </c>
      <c r="D1206" s="61"/>
      <c r="E1206" s="45">
        <v>0.25</v>
      </c>
      <c r="F1206" s="45">
        <v>0.25</v>
      </c>
      <c r="G1206" s="66">
        <v>46082</v>
      </c>
      <c r="H1206" s="45" t="str">
        <f>IF(ISNUMBER(E1206),F1206-E1206,"N/A")</f>
        <v>N/A</v>
      </c>
      <c r="I1206" s="46" t="str">
        <f>IF(E1206&lt;&gt;"",IF(F1206=E1206,"No Change",IF(F1206&gt;E1206,"Increase","Decrease")),"New")</f>
        <v>Increase</v>
      </c>
      <c r="J1206" s="58"/>
      <c r="K1206" s="59" t="str">
        <f>IF(LEN(J1206)&gt;0,IF(OR(ISLOGICAL(J1206),J1206="TRUE"),"Yes",""),"")</f>
      </c>
      <c r="L1206" s="59"/>
      <c r="M1206" s="59"/>
      <c r="N1206" s="62" t="str">
        <f>IF(LEN(M1206)&gt;0,IF(OR(ISLOGICAL(M1206),M1206="TRUE"),"Yes",""),"")</f>
      </c>
      <c r="O1206" s="59"/>
      <c r="P1206" s="62" t="str">
        <f>IF(LEN(O1206)&gt;0,IF(OR(ISLOGICAL(O1206),O1206="TRUE"),"Yes",""),"")</f>
      </c>
      <c r="Q1206" s="62" t="s">
        <v>98</v>
      </c>
      <c r="R1206" s="63"/>
    </row>
    <row r="1207" spans="1:18" s="47" customFormat="1" ht="51">
      <c r="A1207" s="63" t="s">
        <v>2488</v>
      </c>
      <c r="B1207" s="63" t="s">
        <v>96</v>
      </c>
      <c r="C1207" s="63" t="s">
        <v>2489</v>
      </c>
      <c r="D1207" s="61"/>
      <c r="E1207" s="45">
        <v>0.25</v>
      </c>
      <c r="F1207" s="45">
        <v>0.25</v>
      </c>
      <c r="G1207" s="66">
        <v>46082</v>
      </c>
      <c r="H1207" s="45" t="str">
        <f>IF(ISNUMBER(E1207),F1207-E1207,"N/A")</f>
        <v>N/A</v>
      </c>
      <c r="I1207" s="46" t="str">
        <f>IF(E1207&lt;&gt;"",IF(F1207=E1207,"No Change",IF(F1207&gt;E1207,"Increase","Decrease")),"New")</f>
        <v>Increase</v>
      </c>
      <c r="J1207" s="58"/>
      <c r="K1207" s="59" t="str">
        <f>IF(LEN(J1207)&gt;0,IF(OR(ISLOGICAL(J1207),J1207="TRUE"),"Yes",""),"")</f>
      </c>
      <c r="L1207" s="59"/>
      <c r="M1207" s="59"/>
      <c r="N1207" s="62" t="str">
        <f>IF(LEN(M1207)&gt;0,IF(OR(ISLOGICAL(M1207),M1207="TRUE"),"Yes",""),"")</f>
      </c>
      <c r="O1207" s="59"/>
      <c r="P1207" s="62" t="str">
        <f>IF(LEN(O1207)&gt;0,IF(OR(ISLOGICAL(O1207),O1207="TRUE"),"Yes",""),"")</f>
      </c>
      <c r="Q1207" s="62" t="s">
        <v>98</v>
      </c>
      <c r="R1207" s="63"/>
    </row>
    <row r="1208" spans="1:18" s="47" customFormat="1" ht="51">
      <c r="A1208" s="63" t="s">
        <v>2490</v>
      </c>
      <c r="B1208" s="63" t="s">
        <v>96</v>
      </c>
      <c r="C1208" s="63" t="s">
        <v>2491</v>
      </c>
      <c r="D1208" s="61"/>
      <c r="E1208" s="45">
        <v>0.25</v>
      </c>
      <c r="F1208" s="45">
        <v>0.25</v>
      </c>
      <c r="G1208" s="66">
        <v>46082</v>
      </c>
      <c r="H1208" s="45" t="str">
        <f>IF(ISNUMBER(E1208),F1208-E1208,"N/A")</f>
        <v>N/A</v>
      </c>
      <c r="I1208" s="46" t="str">
        <f>IF(E1208&lt;&gt;"",IF(F1208=E1208,"No Change",IF(F1208&gt;E1208,"Increase","Decrease")),"New")</f>
        <v>Increase</v>
      </c>
      <c r="J1208" s="58"/>
      <c r="K1208" s="59" t="str">
        <f>IF(LEN(J1208)&gt;0,IF(OR(ISLOGICAL(J1208),J1208="TRUE"),"Yes",""),"")</f>
      </c>
      <c r="L1208" s="59"/>
      <c r="M1208" s="59"/>
      <c r="N1208" s="62" t="str">
        <f>IF(LEN(M1208)&gt;0,IF(OR(ISLOGICAL(M1208),M1208="TRUE"),"Yes",""),"")</f>
      </c>
      <c r="O1208" s="59"/>
      <c r="P1208" s="62" t="str">
        <f>IF(LEN(O1208)&gt;0,IF(OR(ISLOGICAL(O1208),O1208="TRUE"),"Yes",""),"")</f>
      </c>
      <c r="Q1208" s="62" t="s">
        <v>98</v>
      </c>
      <c r="R1208" s="63"/>
    </row>
    <row r="1209" spans="1:18" s="47" customFormat="1" ht="51">
      <c r="A1209" s="63" t="s">
        <v>2492</v>
      </c>
      <c r="B1209" s="63" t="s">
        <v>96</v>
      </c>
      <c r="C1209" s="63" t="s">
        <v>2493</v>
      </c>
      <c r="D1209" s="61"/>
      <c r="E1209" s="45">
        <v>0.122</v>
      </c>
      <c r="F1209" s="45">
        <v>0.122</v>
      </c>
      <c r="G1209" s="66">
        <v>46078</v>
      </c>
      <c r="H1209" s="45" t="str">
        <f>IF(ISNUMBER(E1209),F1209-E1209,"N/A")</f>
        <v>N/A</v>
      </c>
      <c r="I1209" s="46" t="str">
        <f>IF(E1209&lt;&gt;"",IF(F1209=E1209,"No Change",IF(F1209&gt;E1209,"Increase","Decrease")),"New")</f>
        <v>Increase</v>
      </c>
      <c r="J1209" s="58"/>
      <c r="K1209" s="59" t="str">
        <f>IF(LEN(J1209)&gt;0,IF(OR(ISLOGICAL(J1209),J1209="TRUE"),"Yes",""),"")</f>
      </c>
      <c r="L1209" s="59"/>
      <c r="M1209" s="59"/>
      <c r="N1209" s="62" t="str">
        <f>IF(LEN(M1209)&gt;0,IF(OR(ISLOGICAL(M1209),M1209="TRUE"),"Yes",""),"")</f>
      </c>
      <c r="O1209" s="59"/>
      <c r="P1209" s="62" t="str">
        <f>IF(LEN(O1209)&gt;0,IF(OR(ISLOGICAL(O1209),O1209="TRUE"),"Yes",""),"")</f>
      </c>
      <c r="Q1209" s="62" t="s">
        <v>98</v>
      </c>
      <c r="R1209" s="63"/>
    </row>
    <row r="1210" spans="1:18" s="47" customFormat="1" ht="51">
      <c r="A1210" s="63" t="s">
        <v>2494</v>
      </c>
      <c r="B1210" s="63" t="s">
        <v>96</v>
      </c>
      <c r="C1210" s="63" t="s">
        <v>2495</v>
      </c>
      <c r="D1210" s="61"/>
      <c r="E1210" s="45">
        <v>0.122</v>
      </c>
      <c r="F1210" s="45">
        <v>0.122</v>
      </c>
      <c r="G1210" s="66">
        <v>46082</v>
      </c>
      <c r="H1210" s="45" t="str">
        <f>IF(ISNUMBER(E1210),F1210-E1210,"N/A")</f>
        <v>N/A</v>
      </c>
      <c r="I1210" s="46" t="str">
        <f>IF(E1210&lt;&gt;"",IF(F1210=E1210,"No Change",IF(F1210&gt;E1210,"Increase","Decrease")),"New")</f>
        <v>Increase</v>
      </c>
      <c r="J1210" s="58"/>
      <c r="K1210" s="59" t="str">
        <f>IF(LEN(J1210)&gt;0,IF(OR(ISLOGICAL(J1210),J1210="TRUE"),"Yes",""),"")</f>
      </c>
      <c r="L1210" s="59"/>
      <c r="M1210" s="59"/>
      <c r="N1210" s="62" t="str">
        <f>IF(LEN(M1210)&gt;0,IF(OR(ISLOGICAL(M1210),M1210="TRUE"),"Yes",""),"")</f>
      </c>
      <c r="O1210" s="59"/>
      <c r="P1210" s="62" t="str">
        <f>IF(LEN(O1210)&gt;0,IF(OR(ISLOGICAL(O1210),O1210="TRUE"),"Yes",""),"")</f>
      </c>
      <c r="Q1210" s="62" t="s">
        <v>98</v>
      </c>
      <c r="R1210" s="63"/>
    </row>
    <row r="1211" spans="1:18" s="47" customFormat="1" ht="51">
      <c r="A1211" s="63" t="s">
        <v>2496</v>
      </c>
      <c r="B1211" s="63" t="s">
        <v>96</v>
      </c>
      <c r="C1211" s="63" t="s">
        <v>2497</v>
      </c>
      <c r="D1211" s="61"/>
      <c r="E1211" s="45">
        <v>0.2065</v>
      </c>
      <c r="F1211" s="45">
        <v>0.2065</v>
      </c>
      <c r="G1211" s="66">
        <v>46127</v>
      </c>
      <c r="H1211" s="45" t="str">
        <f>IF(ISNUMBER(E1211),F1211-E1211,"N/A")</f>
        <v>N/A</v>
      </c>
      <c r="I1211" s="46" t="str">
        <f>IF(E1211&lt;&gt;"",IF(F1211=E1211,"No Change",IF(F1211&gt;E1211,"Increase","Decrease")),"New")</f>
        <v>Increase</v>
      </c>
      <c r="J1211" s="58" t="s">
        <v>122</v>
      </c>
      <c r="K1211" s="59" t="str">
        <f>IF(LEN(J1211)&gt;0,IF(OR(ISLOGICAL(J1211),J1211="TRUE"),"Yes",""),"")</f>
      </c>
      <c r="L1211" s="59"/>
      <c r="M1211" s="59"/>
      <c r="N1211" s="62" t="str">
        <f>IF(LEN(M1211)&gt;0,IF(OR(ISLOGICAL(M1211),M1211="TRUE"),"Yes",""),"")</f>
      </c>
      <c r="O1211" s="59"/>
      <c r="P1211" s="62" t="str">
        <f>IF(LEN(O1211)&gt;0,IF(OR(ISLOGICAL(O1211),O1211="TRUE"),"Yes",""),"")</f>
      </c>
      <c r="Q1211" s="62" t="s">
        <v>98</v>
      </c>
      <c r="R1211" s="63"/>
    </row>
    <row r="1212" spans="1:18" s="47" customFormat="1" ht="51">
      <c r="A1212" s="63" t="s">
        <v>2498</v>
      </c>
      <c r="B1212" s="63" t="s">
        <v>96</v>
      </c>
      <c r="C1212" s="63" t="s">
        <v>2499</v>
      </c>
      <c r="D1212" s="61"/>
      <c r="E1212" s="45">
        <v>0.235</v>
      </c>
      <c r="F1212" s="45">
        <v>0.235</v>
      </c>
      <c r="G1212" s="66">
        <v>46036</v>
      </c>
      <c r="H1212" s="45" t="str">
        <f>IF(ISNUMBER(E1212),F1212-E1212,"N/A")</f>
        <v>N/A</v>
      </c>
      <c r="I1212" s="46" t="str">
        <f>IF(E1212&lt;&gt;"",IF(F1212=E1212,"No Change",IF(F1212&gt;E1212,"Increase","Decrease")),"New")</f>
        <v>Increase</v>
      </c>
      <c r="J1212" s="58" t="s">
        <v>122</v>
      </c>
      <c r="K1212" s="59" t="str">
        <f>IF(LEN(J1212)&gt;0,IF(OR(ISLOGICAL(J1212),J1212="TRUE"),"Yes",""),"")</f>
      </c>
      <c r="L1212" s="59"/>
      <c r="M1212" s="59"/>
      <c r="N1212" s="62" t="str">
        <f>IF(LEN(M1212)&gt;0,IF(OR(ISLOGICAL(M1212),M1212="TRUE"),"Yes",""),"")</f>
      </c>
      <c r="O1212" s="59"/>
      <c r="P1212" s="62" t="str">
        <f>IF(LEN(O1212)&gt;0,IF(OR(ISLOGICAL(O1212),O1212="TRUE"),"Yes",""),"")</f>
      </c>
      <c r="Q1212" s="62" t="s">
        <v>98</v>
      </c>
      <c r="R1212" s="63"/>
    </row>
    <row r="1213" spans="1:18" s="47" customFormat="1" ht="51">
      <c r="A1213" s="63" t="s">
        <v>2500</v>
      </c>
      <c r="B1213" s="63" t="s">
        <v>96</v>
      </c>
      <c r="C1213" s="63" t="s">
        <v>2501</v>
      </c>
      <c r="D1213" s="61"/>
      <c r="E1213" s="45">
        <v>0.28</v>
      </c>
      <c r="F1213" s="45">
        <v>0.28</v>
      </c>
      <c r="G1213" s="66">
        <v>46036</v>
      </c>
      <c r="H1213" s="45" t="str">
        <f>IF(ISNUMBER(E1213),F1213-E1213,"N/A")</f>
        <v>N/A</v>
      </c>
      <c r="I1213" s="46" t="str">
        <f>IF(E1213&lt;&gt;"",IF(F1213=E1213,"No Change",IF(F1213&gt;E1213,"Increase","Decrease")),"New")</f>
        <v>Increase</v>
      </c>
      <c r="J1213" s="58" t="s">
        <v>122</v>
      </c>
      <c r="K1213" s="59" t="str">
        <f>IF(LEN(J1213)&gt;0,IF(OR(ISLOGICAL(J1213),J1213="TRUE"),"Yes",""),"")</f>
      </c>
      <c r="L1213" s="59"/>
      <c r="M1213" s="59"/>
      <c r="N1213" s="62" t="str">
        <f>IF(LEN(M1213)&gt;0,IF(OR(ISLOGICAL(M1213),M1213="TRUE"),"Yes",""),"")</f>
      </c>
      <c r="O1213" s="59"/>
      <c r="P1213" s="62" t="str">
        <f>IF(LEN(O1213)&gt;0,IF(OR(ISLOGICAL(O1213),O1213="TRUE"),"Yes",""),"")</f>
      </c>
      <c r="Q1213" s="62" t="s">
        <v>98</v>
      </c>
      <c r="R1213" s="63"/>
    </row>
    <row r="1214" spans="1:18" s="47" customFormat="1" ht="51">
      <c r="A1214" s="63" t="s">
        <v>2502</v>
      </c>
      <c r="B1214" s="63" t="s">
        <v>96</v>
      </c>
      <c r="C1214" s="63" t="s">
        <v>2503</v>
      </c>
      <c r="D1214" s="61"/>
      <c r="E1214" s="45">
        <v>0.28</v>
      </c>
      <c r="F1214" s="45">
        <v>0.28</v>
      </c>
      <c r="G1214" s="66">
        <v>46085</v>
      </c>
      <c r="H1214" s="45" t="str">
        <f>IF(ISNUMBER(E1214),F1214-E1214,"N/A")</f>
        <v>N/A</v>
      </c>
      <c r="I1214" s="46" t="str">
        <f>IF(E1214&lt;&gt;"",IF(F1214=E1214,"No Change",IF(F1214&gt;E1214,"Increase","Decrease")),"New")</f>
        <v>Increase</v>
      </c>
      <c r="J1214" s="58" t="s">
        <v>122</v>
      </c>
      <c r="K1214" s="59" t="str">
        <f>IF(LEN(J1214)&gt;0,IF(OR(ISLOGICAL(J1214),J1214="TRUE"),"Yes",""),"")</f>
      </c>
      <c r="L1214" s="59"/>
      <c r="M1214" s="59"/>
      <c r="N1214" s="62" t="str">
        <f>IF(LEN(M1214)&gt;0,IF(OR(ISLOGICAL(M1214),M1214="TRUE"),"Yes",""),"")</f>
      </c>
      <c r="O1214" s="59"/>
      <c r="P1214" s="62" t="str">
        <f>IF(LEN(O1214)&gt;0,IF(OR(ISLOGICAL(O1214),O1214="TRUE"),"Yes",""),"")</f>
      </c>
      <c r="Q1214" s="62" t="s">
        <v>98</v>
      </c>
      <c r="R1214" s="63"/>
    </row>
    <row r="1215" spans="1:18" s="47" customFormat="1" ht="51">
      <c r="A1215" s="63" t="s">
        <v>2504</v>
      </c>
      <c r="B1215" s="63" t="s">
        <v>96</v>
      </c>
      <c r="C1215" s="63" t="s">
        <v>2505</v>
      </c>
      <c r="D1215" s="61"/>
      <c r="E1215" s="45">
        <v>0.28</v>
      </c>
      <c r="F1215" s="45">
        <v>0.28</v>
      </c>
      <c r="G1215" s="66">
        <v>46082</v>
      </c>
      <c r="H1215" s="45" t="str">
        <f>IF(ISNUMBER(E1215),F1215-E1215,"N/A")</f>
        <v>N/A</v>
      </c>
      <c r="I1215" s="46" t="str">
        <f>IF(E1215&lt;&gt;"",IF(F1215=E1215,"No Change",IF(F1215&gt;E1215,"Increase","Decrease")),"New")</f>
        <v>Increase</v>
      </c>
      <c r="J1215" s="58"/>
      <c r="K1215" s="59" t="str">
        <f>IF(LEN(J1215)&gt;0,IF(OR(ISLOGICAL(J1215),J1215="TRUE"),"Yes",""),"")</f>
      </c>
      <c r="L1215" s="59"/>
      <c r="M1215" s="59"/>
      <c r="N1215" s="62" t="str">
        <f>IF(LEN(M1215)&gt;0,IF(OR(ISLOGICAL(M1215),M1215="TRUE"),"Yes",""),"")</f>
      </c>
      <c r="O1215" s="59"/>
      <c r="P1215" s="62" t="str">
        <f>IF(LEN(O1215)&gt;0,IF(OR(ISLOGICAL(O1215),O1215="TRUE"),"Yes",""),"")</f>
      </c>
      <c r="Q1215" s="62" t="s">
        <v>98</v>
      </c>
      <c r="R1215" s="63"/>
    </row>
    <row r="1216" spans="1:18" s="47" customFormat="1" ht="51">
      <c r="A1216" s="63" t="s">
        <v>2506</v>
      </c>
      <c r="B1216" s="63" t="s">
        <v>96</v>
      </c>
      <c r="C1216" s="63" t="s">
        <v>2507</v>
      </c>
      <c r="D1216" s="61"/>
      <c r="E1216" s="45">
        <v>0.28</v>
      </c>
      <c r="F1216" s="45">
        <v>0.28</v>
      </c>
      <c r="G1216" s="66">
        <v>46082</v>
      </c>
      <c r="H1216" s="45" t="str">
        <f>IF(ISNUMBER(E1216),F1216-E1216,"N/A")</f>
        <v>N/A</v>
      </c>
      <c r="I1216" s="46" t="str">
        <f>IF(E1216&lt;&gt;"",IF(F1216=E1216,"No Change",IF(F1216&gt;E1216,"Increase","Decrease")),"New")</f>
        <v>Increase</v>
      </c>
      <c r="J1216" s="58"/>
      <c r="K1216" s="59" t="str">
        <f>IF(LEN(J1216)&gt;0,IF(OR(ISLOGICAL(J1216),J1216="TRUE"),"Yes",""),"")</f>
      </c>
      <c r="L1216" s="59"/>
      <c r="M1216" s="59"/>
      <c r="N1216" s="62" t="str">
        <f>IF(LEN(M1216)&gt;0,IF(OR(ISLOGICAL(M1216),M1216="TRUE"),"Yes",""),"")</f>
      </c>
      <c r="O1216" s="59"/>
      <c r="P1216" s="62" t="str">
        <f>IF(LEN(O1216)&gt;0,IF(OR(ISLOGICAL(O1216),O1216="TRUE"),"Yes",""),"")</f>
      </c>
      <c r="Q1216" s="62" t="s">
        <v>98</v>
      </c>
      <c r="R1216" s="63"/>
    </row>
    <row r="1217" spans="1:18" s="47" customFormat="1" ht="51">
      <c r="A1217" s="63" t="s">
        <v>2508</v>
      </c>
      <c r="B1217" s="63" t="s">
        <v>96</v>
      </c>
      <c r="C1217" s="63" t="s">
        <v>2509</v>
      </c>
      <c r="D1217" s="61"/>
      <c r="E1217" s="45">
        <v>0.12</v>
      </c>
      <c r="F1217" s="45">
        <v>0.12</v>
      </c>
      <c r="G1217" s="66">
        <v>46099</v>
      </c>
      <c r="H1217" s="45" t="str">
        <f>IF(ISNUMBER(E1217),F1217-E1217,"N/A")</f>
        <v>N/A</v>
      </c>
      <c r="I1217" s="46" t="str">
        <f>IF(E1217&lt;&gt;"",IF(F1217=E1217,"No Change",IF(F1217&gt;E1217,"Increase","Decrease")),"New")</f>
        <v>Increase</v>
      </c>
      <c r="J1217" s="58"/>
      <c r="K1217" s="59" t="str">
        <f>IF(LEN(J1217)&gt;0,IF(OR(ISLOGICAL(J1217),J1217="TRUE"),"Yes",""),"")</f>
      </c>
      <c r="L1217" s="59"/>
      <c r="M1217" s="59"/>
      <c r="N1217" s="62" t="str">
        <f>IF(LEN(M1217)&gt;0,IF(OR(ISLOGICAL(M1217),M1217="TRUE"),"Yes",""),"")</f>
      </c>
      <c r="O1217" s="59"/>
      <c r="P1217" s="62" t="str">
        <f>IF(LEN(O1217)&gt;0,IF(OR(ISLOGICAL(O1217),O1217="TRUE"),"Yes",""),"")</f>
      </c>
      <c r="Q1217" s="62" t="s">
        <v>98</v>
      </c>
      <c r="R1217" s="63"/>
    </row>
    <row r="1218" spans="1:18" s="47" customFormat="1" ht="51">
      <c r="A1218" s="63" t="s">
        <v>2510</v>
      </c>
      <c r="B1218" s="63" t="s">
        <v>96</v>
      </c>
      <c r="C1218" s="63" t="s">
        <v>2511</v>
      </c>
      <c r="D1218" s="61"/>
      <c r="E1218" s="45">
        <v>0.1145</v>
      </c>
      <c r="F1218" s="45">
        <v>0.1145</v>
      </c>
      <c r="G1218" s="66">
        <v>45910</v>
      </c>
      <c r="H1218" s="45" t="str">
        <f>IF(ISNUMBER(E1218),F1218-E1218,"N/A")</f>
        <v>N/A</v>
      </c>
      <c r="I1218" s="46" t="str">
        <f>IF(E1218&lt;&gt;"",IF(F1218=E1218,"No Change",IF(F1218&gt;E1218,"Increase","Decrease")),"New")</f>
        <v>Increase</v>
      </c>
      <c r="J1218" s="58" t="s">
        <v>122</v>
      </c>
      <c r="K1218" s="59" t="str">
        <f>IF(LEN(J1218)&gt;0,IF(OR(ISLOGICAL(J1218),J1218="TRUE"),"Yes",""),"")</f>
      </c>
      <c r="L1218" s="59"/>
      <c r="M1218" s="59"/>
      <c r="N1218" s="62" t="str">
        <f>IF(LEN(M1218)&gt;0,IF(OR(ISLOGICAL(M1218),M1218="TRUE"),"Yes",""),"")</f>
      </c>
      <c r="O1218" s="59"/>
      <c r="P1218" s="62" t="str">
        <f>IF(LEN(O1218)&gt;0,IF(OR(ISLOGICAL(O1218),O1218="TRUE"),"Yes",""),"")</f>
      </c>
      <c r="Q1218" s="62" t="s">
        <v>98</v>
      </c>
      <c r="R1218" s="63"/>
    </row>
    <row r="1219" spans="1:18" s="47" customFormat="1" ht="51">
      <c r="A1219" s="63" t="s">
        <v>2512</v>
      </c>
      <c r="B1219" s="63" t="s">
        <v>96</v>
      </c>
      <c r="C1219" s="63" t="s">
        <v>2513</v>
      </c>
      <c r="D1219" s="61"/>
      <c r="E1219" s="45">
        <v>0.12</v>
      </c>
      <c r="F1219" s="45">
        <v>0.12</v>
      </c>
      <c r="G1219" s="66">
        <v>46078</v>
      </c>
      <c r="H1219" s="45" t="str">
        <f>IF(ISNUMBER(E1219),F1219-E1219,"N/A")</f>
        <v>N/A</v>
      </c>
      <c r="I1219" s="46" t="str">
        <f>IF(E1219&lt;&gt;"",IF(F1219=E1219,"No Change",IF(F1219&gt;E1219,"Increase","Decrease")),"New")</f>
        <v>Increase</v>
      </c>
      <c r="J1219" s="58" t="s">
        <v>122</v>
      </c>
      <c r="K1219" s="59" t="str">
        <f>IF(LEN(J1219)&gt;0,IF(OR(ISLOGICAL(J1219),J1219="TRUE"),"Yes",""),"")</f>
      </c>
      <c r="L1219" s="59"/>
      <c r="M1219" s="59"/>
      <c r="N1219" s="62" t="str">
        <f>IF(LEN(M1219)&gt;0,IF(OR(ISLOGICAL(M1219),M1219="TRUE"),"Yes",""),"")</f>
      </c>
      <c r="O1219" s="59"/>
      <c r="P1219" s="62" t="str">
        <f>IF(LEN(O1219)&gt;0,IF(OR(ISLOGICAL(O1219),O1219="TRUE"),"Yes",""),"")</f>
      </c>
      <c r="Q1219" s="62" t="s">
        <v>98</v>
      </c>
      <c r="R1219" s="63"/>
    </row>
    <row r="1220" spans="1:18" s="47" customFormat="1" ht="51">
      <c r="A1220" s="63" t="s">
        <v>2514</v>
      </c>
      <c r="B1220" s="63" t="s">
        <v>96</v>
      </c>
      <c r="C1220" s="63" t="s">
        <v>2515</v>
      </c>
      <c r="D1220" s="61"/>
      <c r="E1220" s="45">
        <v>0.49</v>
      </c>
      <c r="F1220" s="45">
        <v>0.49</v>
      </c>
      <c r="G1220" s="66">
        <v>46092</v>
      </c>
      <c r="H1220" s="45" t="str">
        <f>IF(ISNUMBER(E1220),F1220-E1220,"N/A")</f>
        <v>N/A</v>
      </c>
      <c r="I1220" s="46" t="str">
        <f>IF(E1220&lt;&gt;"",IF(F1220=E1220,"No Change",IF(F1220&gt;E1220,"Increase","Decrease")),"New")</f>
        <v>Increase</v>
      </c>
      <c r="J1220" s="58"/>
      <c r="K1220" s="59" t="str">
        <f>IF(LEN(J1220)&gt;0,IF(OR(ISLOGICAL(J1220),J1220="TRUE"),"Yes",""),"")</f>
      </c>
      <c r="L1220" s="59"/>
      <c r="M1220" s="59"/>
      <c r="N1220" s="62" t="str">
        <f>IF(LEN(M1220)&gt;0,IF(OR(ISLOGICAL(M1220),M1220="TRUE"),"Yes",""),"")</f>
      </c>
      <c r="O1220" s="59"/>
      <c r="P1220" s="62" t="str">
        <f>IF(LEN(O1220)&gt;0,IF(OR(ISLOGICAL(O1220),O1220="TRUE"),"Yes",""),"")</f>
      </c>
      <c r="Q1220" s="62" t="s">
        <v>98</v>
      </c>
      <c r="R1220" s="63"/>
    </row>
    <row r="1221" spans="1:18" s="47" customFormat="1" ht="51">
      <c r="A1221" s="63" t="s">
        <v>2516</v>
      </c>
      <c r="B1221" s="63" t="s">
        <v>96</v>
      </c>
      <c r="C1221" s="63" t="s">
        <v>2517</v>
      </c>
      <c r="D1221" s="61"/>
      <c r="E1221" s="45">
        <v>0.48</v>
      </c>
      <c r="F1221" s="45">
        <v>0.48</v>
      </c>
      <c r="G1221" s="66">
        <v>46082</v>
      </c>
      <c r="H1221" s="45" t="str">
        <f>IF(ISNUMBER(E1221),F1221-E1221,"N/A")</f>
        <v>N/A</v>
      </c>
      <c r="I1221" s="46" t="str">
        <f>IF(E1221&lt;&gt;"",IF(F1221=E1221,"No Change",IF(F1221&gt;E1221,"Increase","Decrease")),"New")</f>
        <v>Increase</v>
      </c>
      <c r="J1221" s="58"/>
      <c r="K1221" s="59" t="str">
        <f>IF(LEN(J1221)&gt;0,IF(OR(ISLOGICAL(J1221),J1221="TRUE"),"Yes",""),"")</f>
      </c>
      <c r="L1221" s="59"/>
      <c r="M1221" s="59"/>
      <c r="N1221" s="62" t="str">
        <f>IF(LEN(M1221)&gt;0,IF(OR(ISLOGICAL(M1221),M1221="TRUE"),"Yes",""),"")</f>
      </c>
      <c r="O1221" s="59"/>
      <c r="P1221" s="62" t="str">
        <f>IF(LEN(O1221)&gt;0,IF(OR(ISLOGICAL(O1221),O1221="TRUE"),"Yes",""),"")</f>
      </c>
      <c r="Q1221" s="62" t="s">
        <v>98</v>
      </c>
      <c r="R1221" s="63"/>
    </row>
    <row r="1222" spans="1:18" s="47" customFormat="1" ht="51">
      <c r="A1222" s="63" t="s">
        <v>2518</v>
      </c>
      <c r="B1222" s="63" t="s">
        <v>96</v>
      </c>
      <c r="C1222" s="63" t="s">
        <v>2519</v>
      </c>
      <c r="D1222" s="61"/>
      <c r="E1222" s="45">
        <v>0.4819</v>
      </c>
      <c r="F1222" s="45">
        <v>0.4819</v>
      </c>
      <c r="G1222" s="66">
        <v>46082</v>
      </c>
      <c r="H1222" s="45" t="str">
        <f>IF(ISNUMBER(E1222),F1222-E1222,"N/A")</f>
        <v>N/A</v>
      </c>
      <c r="I1222" s="46" t="str">
        <f>IF(E1222&lt;&gt;"",IF(F1222=E1222,"No Change",IF(F1222&gt;E1222,"Increase","Decrease")),"New")</f>
        <v>Increase</v>
      </c>
      <c r="J1222" s="58"/>
      <c r="K1222" s="59" t="str">
        <f>IF(LEN(J1222)&gt;0,IF(OR(ISLOGICAL(J1222),J1222="TRUE"),"Yes",""),"")</f>
      </c>
      <c r="L1222" s="59"/>
      <c r="M1222" s="59"/>
      <c r="N1222" s="62" t="str">
        <f>IF(LEN(M1222)&gt;0,IF(OR(ISLOGICAL(M1222),M1222="TRUE"),"Yes",""),"")</f>
      </c>
      <c r="O1222" s="59"/>
      <c r="P1222" s="62" t="str">
        <f>IF(LEN(O1222)&gt;0,IF(OR(ISLOGICAL(O1222),O1222="TRUE"),"Yes",""),"")</f>
      </c>
      <c r="Q1222" s="62" t="s">
        <v>98</v>
      </c>
      <c r="R1222" s="63"/>
    </row>
    <row r="1223" spans="1:18" s="47" customFormat="1" ht="51">
      <c r="A1223" s="63" t="s">
        <v>2520</v>
      </c>
      <c r="B1223" s="63" t="s">
        <v>96</v>
      </c>
      <c r="C1223" s="63" t="s">
        <v>2521</v>
      </c>
      <c r="D1223" s="61"/>
      <c r="E1223" s="45">
        <v>0.474</v>
      </c>
      <c r="F1223" s="45">
        <v>0.474</v>
      </c>
      <c r="G1223" s="66">
        <v>46113</v>
      </c>
      <c r="H1223" s="45" t="str">
        <f>IF(ISNUMBER(E1223),F1223-E1223,"N/A")</f>
        <v>N/A</v>
      </c>
      <c r="I1223" s="46" t="str">
        <f>IF(E1223&lt;&gt;"",IF(F1223=E1223,"No Change",IF(F1223&gt;E1223,"Increase","Decrease")),"New")</f>
        <v>Increase</v>
      </c>
      <c r="J1223" s="58" t="s">
        <v>122</v>
      </c>
      <c r="K1223" s="59" t="str">
        <f>IF(LEN(J1223)&gt;0,IF(OR(ISLOGICAL(J1223),J1223="TRUE"),"Yes",""),"")</f>
      </c>
      <c r="L1223" s="59"/>
      <c r="M1223" s="59"/>
      <c r="N1223" s="62" t="str">
        <f>IF(LEN(M1223)&gt;0,IF(OR(ISLOGICAL(M1223),M1223="TRUE"),"Yes",""),"")</f>
      </c>
      <c r="O1223" s="59"/>
      <c r="P1223" s="62" t="str">
        <f>IF(LEN(O1223)&gt;0,IF(OR(ISLOGICAL(O1223),O1223="TRUE"),"Yes",""),"")</f>
      </c>
      <c r="Q1223" s="62" t="s">
        <v>98</v>
      </c>
      <c r="R1223" s="63"/>
    </row>
    <row r="1224" spans="1:18" s="47" customFormat="1" ht="51">
      <c r="A1224" s="63" t="s">
        <v>2522</v>
      </c>
      <c r="B1224" s="63" t="s">
        <v>96</v>
      </c>
      <c r="C1224" s="63" t="s">
        <v>2523</v>
      </c>
      <c r="D1224" s="61"/>
      <c r="E1224" s="45">
        <v>2.75</v>
      </c>
      <c r="F1224" s="45">
        <v>2.75</v>
      </c>
      <c r="G1224" s="66">
        <v>46143</v>
      </c>
      <c r="H1224" s="45" t="str">
        <f>IF(ISNUMBER(E1224),F1224-E1224,"N/A")</f>
        <v>N/A</v>
      </c>
      <c r="I1224" s="46" t="str">
        <f>IF(E1224&lt;&gt;"",IF(F1224=E1224,"No Change",IF(F1224&gt;E1224,"Increase","Decrease")),"New")</f>
        <v>Increase</v>
      </c>
      <c r="J1224" s="58" t="s">
        <v>122</v>
      </c>
      <c r="K1224" s="59" t="str">
        <f>IF(LEN(J1224)&gt;0,IF(OR(ISLOGICAL(J1224),J1224="TRUE"),"Yes",""),"")</f>
      </c>
      <c r="L1224" s="59"/>
      <c r="M1224" s="59"/>
      <c r="N1224" s="62" t="str">
        <f>IF(LEN(M1224)&gt;0,IF(OR(ISLOGICAL(M1224),M1224="TRUE"),"Yes",""),"")</f>
      </c>
      <c r="O1224" s="59"/>
      <c r="P1224" s="62" t="str">
        <f>IF(LEN(O1224)&gt;0,IF(OR(ISLOGICAL(O1224),O1224="TRUE"),"Yes",""),"")</f>
      </c>
      <c r="Q1224" s="62" t="s">
        <v>98</v>
      </c>
      <c r="R1224" s="63"/>
    </row>
    <row r="1225" spans="1:18" s="47" customFormat="1" ht="51">
      <c r="A1225" s="63" t="s">
        <v>2524</v>
      </c>
      <c r="B1225" s="63" t="s">
        <v>96</v>
      </c>
      <c r="C1225" s="63" t="s">
        <v>2525</v>
      </c>
      <c r="D1225" s="61"/>
      <c r="E1225" s="45">
        <v>0.0065</v>
      </c>
      <c r="F1225" s="45">
        <v>0.0065</v>
      </c>
      <c r="G1225" s="66">
        <v>46113</v>
      </c>
      <c r="H1225" s="45" t="str">
        <f>IF(ISNUMBER(E1225),F1225-E1225,"N/A")</f>
        <v>N/A</v>
      </c>
      <c r="I1225" s="46" t="str">
        <f>IF(E1225&lt;&gt;"",IF(F1225=E1225,"No Change",IF(F1225&gt;E1225,"Increase","Decrease")),"New")</f>
        <v>Increase</v>
      </c>
      <c r="J1225" s="58" t="s">
        <v>122</v>
      </c>
      <c r="K1225" s="59" t="str">
        <f>IF(LEN(J1225)&gt;0,IF(OR(ISLOGICAL(J1225),J1225="TRUE"),"Yes",""),"")</f>
      </c>
      <c r="L1225" s="59"/>
      <c r="M1225" s="59"/>
      <c r="N1225" s="62" t="str">
        <f>IF(LEN(M1225)&gt;0,IF(OR(ISLOGICAL(M1225),M1225="TRUE"),"Yes",""),"")</f>
      </c>
      <c r="O1225" s="59"/>
      <c r="P1225" s="62" t="str">
        <f>IF(LEN(O1225)&gt;0,IF(OR(ISLOGICAL(O1225),O1225="TRUE"),"Yes",""),"")</f>
      </c>
      <c r="Q1225" s="62" t="s">
        <v>98</v>
      </c>
      <c r="R1225" s="63"/>
    </row>
    <row r="1226" spans="1:18" s="47" customFormat="1" ht="51">
      <c r="A1226" s="63" t="s">
        <v>2526</v>
      </c>
      <c r="B1226" s="63" t="s">
        <v>96</v>
      </c>
      <c r="C1226" s="63" t="s">
        <v>2527</v>
      </c>
      <c r="D1226" s="61"/>
      <c r="E1226" s="45">
        <v>2.76</v>
      </c>
      <c r="F1226" s="45">
        <v>2.76</v>
      </c>
      <c r="G1226" s="66">
        <v>46092</v>
      </c>
      <c r="H1226" s="45" t="str">
        <f>IF(ISNUMBER(E1226),F1226-E1226,"N/A")</f>
        <v>N/A</v>
      </c>
      <c r="I1226" s="46" t="str">
        <f>IF(E1226&lt;&gt;"",IF(F1226=E1226,"No Change",IF(F1226&gt;E1226,"Increase","Decrease")),"New")</f>
        <v>Increase</v>
      </c>
      <c r="J1226" s="58" t="s">
        <v>122</v>
      </c>
      <c r="K1226" s="59" t="str">
        <f>IF(LEN(J1226)&gt;0,IF(OR(ISLOGICAL(J1226),J1226="TRUE"),"Yes",""),"")</f>
      </c>
      <c r="L1226" s="59"/>
      <c r="M1226" s="59"/>
      <c r="N1226" s="62" t="str">
        <f>IF(LEN(M1226)&gt;0,IF(OR(ISLOGICAL(M1226),M1226="TRUE"),"Yes",""),"")</f>
      </c>
      <c r="O1226" s="59"/>
      <c r="P1226" s="62" t="str">
        <f>IF(LEN(O1226)&gt;0,IF(OR(ISLOGICAL(O1226),O1226="TRUE"),"Yes",""),"")</f>
      </c>
      <c r="Q1226" s="62" t="s">
        <v>98</v>
      </c>
      <c r="R1226" s="63"/>
    </row>
    <row r="1227" spans="1:18" s="47" customFormat="1" ht="51">
      <c r="A1227" s="63" t="s">
        <v>2528</v>
      </c>
      <c r="B1227" s="63" t="s">
        <v>96</v>
      </c>
      <c r="C1227" s="63" t="s">
        <v>2529</v>
      </c>
      <c r="D1227" s="61"/>
      <c r="E1227" s="45">
        <v>0.474</v>
      </c>
      <c r="F1227" s="45">
        <v>0.474</v>
      </c>
      <c r="G1227" s="66">
        <v>46113</v>
      </c>
      <c r="H1227" s="45" t="str">
        <f>IF(ISNUMBER(E1227),F1227-E1227,"N/A")</f>
        <v>N/A</v>
      </c>
      <c r="I1227" s="46" t="str">
        <f>IF(E1227&lt;&gt;"",IF(F1227=E1227,"No Change",IF(F1227&gt;E1227,"Increase","Decrease")),"New")</f>
        <v>Increase</v>
      </c>
      <c r="J1227" s="58"/>
      <c r="K1227" s="59" t="str">
        <f>IF(LEN(J1227)&gt;0,IF(OR(ISLOGICAL(J1227),J1227="TRUE"),"Yes",""),"")</f>
      </c>
      <c r="L1227" s="59"/>
      <c r="M1227" s="59"/>
      <c r="N1227" s="62" t="str">
        <f>IF(LEN(M1227)&gt;0,IF(OR(ISLOGICAL(M1227),M1227="TRUE"),"Yes",""),"")</f>
      </c>
      <c r="O1227" s="59"/>
      <c r="P1227" s="62" t="str">
        <f>IF(LEN(O1227)&gt;0,IF(OR(ISLOGICAL(O1227),O1227="TRUE"),"Yes",""),"")</f>
      </c>
      <c r="Q1227" s="62" t="s">
        <v>98</v>
      </c>
      <c r="R1227" s="63"/>
    </row>
    <row r="1228" spans="1:18" s="47" customFormat="1" ht="51">
      <c r="A1228" s="63" t="s">
        <v>2530</v>
      </c>
      <c r="B1228" s="63" t="s">
        <v>96</v>
      </c>
      <c r="C1228" s="63" t="s">
        <v>2531</v>
      </c>
      <c r="D1228" s="61"/>
      <c r="E1228" s="45">
        <v>2.76</v>
      </c>
      <c r="F1228" s="45">
        <v>2.76</v>
      </c>
      <c r="G1228" s="66">
        <v>46082</v>
      </c>
      <c r="H1228" s="45" t="str">
        <f>IF(ISNUMBER(E1228),F1228-E1228,"N/A")</f>
        <v>N/A</v>
      </c>
      <c r="I1228" s="46" t="str">
        <f>IF(E1228&lt;&gt;"",IF(F1228=E1228,"No Change",IF(F1228&gt;E1228,"Increase","Decrease")),"New")</f>
        <v>Increase</v>
      </c>
      <c r="J1228" s="58" t="s">
        <v>122</v>
      </c>
      <c r="K1228" s="59" t="str">
        <f>IF(LEN(J1228)&gt;0,IF(OR(ISLOGICAL(J1228),J1228="TRUE"),"Yes",""),"")</f>
      </c>
      <c r="L1228" s="59"/>
      <c r="M1228" s="59"/>
      <c r="N1228" s="62" t="str">
        <f>IF(LEN(M1228)&gt;0,IF(OR(ISLOGICAL(M1228),M1228="TRUE"),"Yes",""),"")</f>
      </c>
      <c r="O1228" s="59"/>
      <c r="P1228" s="62" t="str">
        <f>IF(LEN(O1228)&gt;0,IF(OR(ISLOGICAL(O1228),O1228="TRUE"),"Yes",""),"")</f>
      </c>
      <c r="Q1228" s="62" t="s">
        <v>98</v>
      </c>
      <c r="R1228" s="63"/>
    </row>
    <row r="1229" spans="1:18" s="47" customFormat="1" ht="51">
      <c r="A1229" s="63" t="s">
        <v>2532</v>
      </c>
      <c r="B1229" s="63" t="s">
        <v>96</v>
      </c>
      <c r="C1229" s="63" t="s">
        <v>2533</v>
      </c>
      <c r="D1229" s="61"/>
      <c r="E1229" s="45">
        <v>0.6195</v>
      </c>
      <c r="F1229" s="45">
        <v>0.6195</v>
      </c>
      <c r="G1229" s="66">
        <v>46082</v>
      </c>
      <c r="H1229" s="45" t="str">
        <f>IF(ISNUMBER(E1229),F1229-E1229,"N/A")</f>
        <v>N/A</v>
      </c>
      <c r="I1229" s="46" t="str">
        <f>IF(E1229&lt;&gt;"",IF(F1229=E1229,"No Change",IF(F1229&gt;E1229,"Increase","Decrease")),"New")</f>
        <v>Increase</v>
      </c>
      <c r="J1229" s="58"/>
      <c r="K1229" s="59" t="str">
        <f>IF(LEN(J1229)&gt;0,IF(OR(ISLOGICAL(J1229),J1229="TRUE"),"Yes",""),"")</f>
      </c>
      <c r="L1229" s="59"/>
      <c r="M1229" s="59"/>
      <c r="N1229" s="62" t="str">
        <f>IF(LEN(M1229)&gt;0,IF(OR(ISLOGICAL(M1229),M1229="TRUE"),"Yes",""),"")</f>
      </c>
      <c r="O1229" s="59"/>
      <c r="P1229" s="62" t="str">
        <f>IF(LEN(O1229)&gt;0,IF(OR(ISLOGICAL(O1229),O1229="TRUE"),"Yes",""),"")</f>
      </c>
      <c r="Q1229" s="62" t="s">
        <v>98</v>
      </c>
      <c r="R1229" s="63"/>
    </row>
    <row r="1230" spans="1:18" s="47" customFormat="1" ht="51">
      <c r="A1230" s="63" t="s">
        <v>2534</v>
      </c>
      <c r="B1230" s="63" t="s">
        <v>96</v>
      </c>
      <c r="C1230" s="63" t="s">
        <v>2535</v>
      </c>
      <c r="D1230" s="61"/>
      <c r="E1230" s="45">
        <v>0.59</v>
      </c>
      <c r="F1230" s="45">
        <v>0.59</v>
      </c>
      <c r="G1230" s="66">
        <v>46082</v>
      </c>
      <c r="H1230" s="45" t="str">
        <f>IF(ISNUMBER(E1230),F1230-E1230,"N/A")</f>
        <v>N/A</v>
      </c>
      <c r="I1230" s="46" t="str">
        <f>IF(E1230&lt;&gt;"",IF(F1230=E1230,"No Change",IF(F1230&gt;E1230,"Increase","Decrease")),"New")</f>
        <v>Increase</v>
      </c>
      <c r="J1230" s="58"/>
      <c r="K1230" s="59" t="str">
        <f>IF(LEN(J1230)&gt;0,IF(OR(ISLOGICAL(J1230),J1230="TRUE"),"Yes",""),"")</f>
      </c>
      <c r="L1230" s="59"/>
      <c r="M1230" s="59"/>
      <c r="N1230" s="62" t="str">
        <f>IF(LEN(M1230)&gt;0,IF(OR(ISLOGICAL(M1230),M1230="TRUE"),"Yes",""),"")</f>
      </c>
      <c r="O1230" s="59"/>
      <c r="P1230" s="62" t="str">
        <f>IF(LEN(O1230)&gt;0,IF(OR(ISLOGICAL(O1230),O1230="TRUE"),"Yes",""),"")</f>
      </c>
      <c r="Q1230" s="62" t="s">
        <v>98</v>
      </c>
      <c r="R1230" s="63"/>
    </row>
    <row r="1231" spans="1:18" s="47" customFormat="1" ht="51">
      <c r="A1231" s="63" t="s">
        <v>2536</v>
      </c>
      <c r="B1231" s="63" t="s">
        <v>96</v>
      </c>
      <c r="C1231" s="63" t="s">
        <v>2537</v>
      </c>
      <c r="D1231" s="61"/>
      <c r="E1231" s="45">
        <v>0.6195</v>
      </c>
      <c r="F1231" s="45">
        <v>0.6195</v>
      </c>
      <c r="G1231" s="66">
        <v>46082</v>
      </c>
      <c r="H1231" s="45" t="str">
        <f>IF(ISNUMBER(E1231),F1231-E1231,"N/A")</f>
        <v>N/A</v>
      </c>
      <c r="I1231" s="46" t="str">
        <f>IF(E1231&lt;&gt;"",IF(F1231=E1231,"No Change",IF(F1231&gt;E1231,"Increase","Decrease")),"New")</f>
        <v>Increase</v>
      </c>
      <c r="J1231" s="58"/>
      <c r="K1231" s="59" t="str">
        <f>IF(LEN(J1231)&gt;0,IF(OR(ISLOGICAL(J1231),J1231="TRUE"),"Yes",""),"")</f>
      </c>
      <c r="L1231" s="59"/>
      <c r="M1231" s="59"/>
      <c r="N1231" s="62" t="str">
        <f>IF(LEN(M1231)&gt;0,IF(OR(ISLOGICAL(M1231),M1231="TRUE"),"Yes",""),"")</f>
      </c>
      <c r="O1231" s="59"/>
      <c r="P1231" s="62" t="str">
        <f>IF(LEN(O1231)&gt;0,IF(OR(ISLOGICAL(O1231),O1231="TRUE"),"Yes",""),"")</f>
      </c>
      <c r="Q1231" s="62" t="s">
        <v>98</v>
      </c>
      <c r="R1231" s="63"/>
    </row>
    <row r="1232" spans="1:18" s="47" customFormat="1" ht="51">
      <c r="A1232" s="63" t="s">
        <v>2538</v>
      </c>
      <c r="B1232" s="63" t="s">
        <v>96</v>
      </c>
      <c r="C1232" s="63" t="s">
        <v>2539</v>
      </c>
      <c r="D1232" s="61"/>
      <c r="E1232" s="45">
        <v>0.22</v>
      </c>
      <c r="F1232" s="45">
        <v>0.22</v>
      </c>
      <c r="G1232" s="66">
        <v>46082</v>
      </c>
      <c r="H1232" s="45" t="str">
        <f>IF(ISNUMBER(E1232),F1232-E1232,"N/A")</f>
        <v>N/A</v>
      </c>
      <c r="I1232" s="46" t="str">
        <f>IF(E1232&lt;&gt;"",IF(F1232=E1232,"No Change",IF(F1232&gt;E1232,"Increase","Decrease")),"New")</f>
        <v>Increase</v>
      </c>
      <c r="J1232" s="58"/>
      <c r="K1232" s="59" t="str">
        <f>IF(LEN(J1232)&gt;0,IF(OR(ISLOGICAL(J1232),J1232="TRUE"),"Yes",""),"")</f>
      </c>
      <c r="L1232" s="59"/>
      <c r="M1232" s="59"/>
      <c r="N1232" s="62" t="str">
        <f>IF(LEN(M1232)&gt;0,IF(OR(ISLOGICAL(M1232),M1232="TRUE"),"Yes",""),"")</f>
      </c>
      <c r="O1232" s="59"/>
      <c r="P1232" s="62" t="str">
        <f>IF(LEN(O1232)&gt;0,IF(OR(ISLOGICAL(O1232),O1232="TRUE"),"Yes",""),"")</f>
      </c>
      <c r="Q1232" s="62" t="s">
        <v>98</v>
      </c>
      <c r="R1232" s="63"/>
    </row>
    <row r="1233" spans="1:18" s="47" customFormat="1" ht="51">
      <c r="A1233" s="63" t="s">
        <v>2540</v>
      </c>
      <c r="B1233" s="63" t="s">
        <v>96</v>
      </c>
      <c r="C1233" s="63" t="s">
        <v>2541</v>
      </c>
      <c r="D1233" s="61"/>
      <c r="E1233" s="45">
        <v>0.4815</v>
      </c>
      <c r="F1233" s="45">
        <v>0.4815</v>
      </c>
      <c r="G1233" s="66">
        <v>46113</v>
      </c>
      <c r="H1233" s="45" t="str">
        <f>IF(ISNUMBER(E1233),F1233-E1233,"N/A")</f>
        <v>N/A</v>
      </c>
      <c r="I1233" s="46" t="str">
        <f>IF(E1233&lt;&gt;"",IF(F1233=E1233,"No Change",IF(F1233&gt;E1233,"Increase","Decrease")),"New")</f>
        <v>Increase</v>
      </c>
      <c r="J1233" s="58"/>
      <c r="K1233" s="59" t="str">
        <f>IF(LEN(J1233)&gt;0,IF(OR(ISLOGICAL(J1233),J1233="TRUE"),"Yes",""),"")</f>
      </c>
      <c r="L1233" s="59"/>
      <c r="M1233" s="59"/>
      <c r="N1233" s="62" t="str">
        <f>IF(LEN(M1233)&gt;0,IF(OR(ISLOGICAL(M1233),M1233="TRUE"),"Yes",""),"")</f>
      </c>
      <c r="O1233" s="59"/>
      <c r="P1233" s="62" t="str">
        <f>IF(LEN(O1233)&gt;0,IF(OR(ISLOGICAL(O1233),O1233="TRUE"),"Yes",""),"")</f>
      </c>
      <c r="Q1233" s="62" t="s">
        <v>98</v>
      </c>
      <c r="R1233" s="63"/>
    </row>
    <row r="1234" spans="1:18" s="47" customFormat="1" ht="51">
      <c r="A1234" s="63" t="s">
        <v>2542</v>
      </c>
      <c r="B1234" s="63" t="s">
        <v>96</v>
      </c>
      <c r="C1234" s="63" t="s">
        <v>2543</v>
      </c>
      <c r="D1234" s="61"/>
      <c r="E1234" s="45">
        <v>10</v>
      </c>
      <c r="F1234" s="45">
        <v>10</v>
      </c>
      <c r="G1234" s="66">
        <v>46082</v>
      </c>
      <c r="H1234" s="45" t="str">
        <f>IF(ISNUMBER(E1234),F1234-E1234,"N/A")</f>
        <v>N/A</v>
      </c>
      <c r="I1234" s="46" t="str">
        <f>IF(E1234&lt;&gt;"",IF(F1234=E1234,"No Change",IF(F1234&gt;E1234,"Increase","Decrease")),"New")</f>
        <v>Increase</v>
      </c>
      <c r="J1234" s="58"/>
      <c r="K1234" s="59" t="str">
        <f>IF(LEN(J1234)&gt;0,IF(OR(ISLOGICAL(J1234),J1234="TRUE"),"Yes",""),"")</f>
      </c>
      <c r="L1234" s="59"/>
      <c r="M1234" s="59"/>
      <c r="N1234" s="62" t="str">
        <f>IF(LEN(M1234)&gt;0,IF(OR(ISLOGICAL(M1234),M1234="TRUE"),"Yes",""),"")</f>
      </c>
      <c r="O1234" s="59"/>
      <c r="P1234" s="62" t="str">
        <f>IF(LEN(O1234)&gt;0,IF(OR(ISLOGICAL(O1234),O1234="TRUE"),"Yes",""),"")</f>
      </c>
      <c r="Q1234" s="62" t="s">
        <v>98</v>
      </c>
      <c r="R1234" s="63"/>
    </row>
    <row r="1235" spans="1:18" s="47" customFormat="1" ht="51">
      <c r="A1235" s="63" t="s">
        <v>2544</v>
      </c>
      <c r="B1235" s="63" t="s">
        <v>96</v>
      </c>
      <c r="C1235" s="63" t="s">
        <v>2545</v>
      </c>
      <c r="D1235" s="61"/>
      <c r="E1235" s="45">
        <v>0.0435</v>
      </c>
      <c r="F1235" s="45">
        <v>0.0435</v>
      </c>
      <c r="G1235" s="66">
        <v>46085</v>
      </c>
      <c r="H1235" s="45" t="str">
        <f>IF(ISNUMBER(E1235),F1235-E1235,"N/A")</f>
        <v>N/A</v>
      </c>
      <c r="I1235" s="46" t="str">
        <f>IF(E1235&lt;&gt;"",IF(F1235=E1235,"No Change",IF(F1235&gt;E1235,"Increase","Decrease")),"New")</f>
        <v>Increase</v>
      </c>
      <c r="J1235" s="58"/>
      <c r="K1235" s="59" t="str">
        <f>IF(LEN(J1235)&gt;0,IF(OR(ISLOGICAL(J1235),J1235="TRUE"),"Yes",""),"")</f>
      </c>
      <c r="L1235" s="59"/>
      <c r="M1235" s="59"/>
      <c r="N1235" s="62" t="str">
        <f>IF(LEN(M1235)&gt;0,IF(OR(ISLOGICAL(M1235),M1235="TRUE"),"Yes",""),"")</f>
      </c>
      <c r="O1235" s="59"/>
      <c r="P1235" s="62" t="str">
        <f>IF(LEN(O1235)&gt;0,IF(OR(ISLOGICAL(O1235),O1235="TRUE"),"Yes",""),"")</f>
      </c>
      <c r="Q1235" s="62" t="s">
        <v>104</v>
      </c>
      <c r="R1235" s="63"/>
    </row>
    <row r="1236" spans="1:18" s="47" customFormat="1" ht="51">
      <c r="A1236" s="63" t="s">
        <v>2546</v>
      </c>
      <c r="B1236" s="63" t="s">
        <v>96</v>
      </c>
      <c r="C1236" s="63" t="s">
        <v>2547</v>
      </c>
      <c r="D1236" s="61"/>
      <c r="E1236" s="45">
        <v>0.125</v>
      </c>
      <c r="F1236" s="45">
        <v>0.125</v>
      </c>
      <c r="G1236" s="66">
        <v>45966</v>
      </c>
      <c r="H1236" s="45" t="str">
        <f>IF(ISNUMBER(E1236),F1236-E1236,"N/A")</f>
        <v>N/A</v>
      </c>
      <c r="I1236" s="46" t="str">
        <f>IF(E1236&lt;&gt;"",IF(F1236=E1236,"No Change",IF(F1236&gt;E1236,"Increase","Decrease")),"New")</f>
        <v>Increase</v>
      </c>
      <c r="J1236" s="58" t="s">
        <v>122</v>
      </c>
      <c r="K1236" s="59" t="str">
        <f>IF(LEN(J1236)&gt;0,IF(OR(ISLOGICAL(J1236),J1236="TRUE"),"Yes",""),"")</f>
      </c>
      <c r="L1236" s="59"/>
      <c r="M1236" s="59"/>
      <c r="N1236" s="62" t="str">
        <f>IF(LEN(M1236)&gt;0,IF(OR(ISLOGICAL(M1236),M1236="TRUE"),"Yes",""),"")</f>
      </c>
      <c r="O1236" s="59"/>
      <c r="P1236" s="62" t="str">
        <f>IF(LEN(O1236)&gt;0,IF(OR(ISLOGICAL(O1236),O1236="TRUE"),"Yes",""),"")</f>
      </c>
      <c r="Q1236" s="62" t="s">
        <v>104</v>
      </c>
      <c r="R1236" s="63"/>
    </row>
    <row r="1237" spans="1:18" s="47" customFormat="1" ht="51">
      <c r="A1237" s="63" t="s">
        <v>2548</v>
      </c>
      <c r="B1237" s="63" t="s">
        <v>96</v>
      </c>
      <c r="C1237" s="63" t="s">
        <v>2549</v>
      </c>
      <c r="D1237" s="61"/>
      <c r="E1237" s="45">
        <v>0.0805</v>
      </c>
      <c r="F1237" s="45">
        <v>0.0805</v>
      </c>
      <c r="G1237" s="66">
        <v>45966</v>
      </c>
      <c r="H1237" s="45" t="str">
        <f>IF(ISNUMBER(E1237),F1237-E1237,"N/A")</f>
        <v>N/A</v>
      </c>
      <c r="I1237" s="46" t="str">
        <f>IF(E1237&lt;&gt;"",IF(F1237=E1237,"No Change",IF(F1237&gt;E1237,"Increase","Decrease")),"New")</f>
        <v>Increase</v>
      </c>
      <c r="J1237" s="58" t="s">
        <v>122</v>
      </c>
      <c r="K1237" s="59" t="str">
        <f>IF(LEN(J1237)&gt;0,IF(OR(ISLOGICAL(J1237),J1237="TRUE"),"Yes",""),"")</f>
      </c>
      <c r="L1237" s="59"/>
      <c r="M1237" s="59"/>
      <c r="N1237" s="62" t="str">
        <f>IF(LEN(M1237)&gt;0,IF(OR(ISLOGICAL(M1237),M1237="TRUE"),"Yes",""),"")</f>
      </c>
      <c r="O1237" s="59"/>
      <c r="P1237" s="62" t="str">
        <f>IF(LEN(O1237)&gt;0,IF(OR(ISLOGICAL(O1237),O1237="TRUE"),"Yes",""),"")</f>
      </c>
      <c r="Q1237" s="62" t="s">
        <v>104</v>
      </c>
      <c r="R1237" s="63"/>
    </row>
    <row r="1238" spans="1:18" s="47" customFormat="1" ht="51">
      <c r="A1238" s="63" t="s">
        <v>2550</v>
      </c>
      <c r="B1238" s="63" t="s">
        <v>96</v>
      </c>
      <c r="C1238" s="63" t="s">
        <v>2551</v>
      </c>
      <c r="D1238" s="61"/>
      <c r="E1238" s="45">
        <v>0.1455</v>
      </c>
      <c r="F1238" s="45">
        <v>0.1455</v>
      </c>
      <c r="G1238" s="66">
        <v>45966</v>
      </c>
      <c r="H1238" s="45" t="str">
        <f>IF(ISNUMBER(E1238),F1238-E1238,"N/A")</f>
        <v>N/A</v>
      </c>
      <c r="I1238" s="46" t="str">
        <f>IF(E1238&lt;&gt;"",IF(F1238=E1238,"No Change",IF(F1238&gt;E1238,"Increase","Decrease")),"New")</f>
        <v>Increase</v>
      </c>
      <c r="J1238" s="58" t="s">
        <v>122</v>
      </c>
      <c r="K1238" s="59" t="str">
        <f>IF(LEN(J1238)&gt;0,IF(OR(ISLOGICAL(J1238),J1238="TRUE"),"Yes",""),"")</f>
      </c>
      <c r="L1238" s="59"/>
      <c r="M1238" s="59"/>
      <c r="N1238" s="62" t="str">
        <f>IF(LEN(M1238)&gt;0,IF(OR(ISLOGICAL(M1238),M1238="TRUE"),"Yes",""),"")</f>
      </c>
      <c r="O1238" s="59"/>
      <c r="P1238" s="62" t="str">
        <f>IF(LEN(O1238)&gt;0,IF(OR(ISLOGICAL(O1238),O1238="TRUE"),"Yes",""),"")</f>
      </c>
      <c r="Q1238" s="62" t="s">
        <v>104</v>
      </c>
      <c r="R1238" s="63"/>
    </row>
    <row r="1239" spans="1:18" s="47" customFormat="1" ht="51">
      <c r="A1239" s="63" t="s">
        <v>2552</v>
      </c>
      <c r="B1239" s="63" t="s">
        <v>96</v>
      </c>
      <c r="C1239" s="63" t="s">
        <v>2553</v>
      </c>
      <c r="D1239" s="61"/>
      <c r="E1239" s="45">
        <v>0.045</v>
      </c>
      <c r="F1239" s="45">
        <v>0.045</v>
      </c>
      <c r="G1239" s="66">
        <v>46085</v>
      </c>
      <c r="H1239" s="45" t="str">
        <f>IF(ISNUMBER(E1239),F1239-E1239,"N/A")</f>
        <v>N/A</v>
      </c>
      <c r="I1239" s="46" t="str">
        <f>IF(E1239&lt;&gt;"",IF(F1239=E1239,"No Change",IF(F1239&gt;E1239,"Increase","Decrease")),"New")</f>
        <v>Increase</v>
      </c>
      <c r="J1239" s="58" t="s">
        <v>122</v>
      </c>
      <c r="K1239" s="59" t="str">
        <f>IF(LEN(J1239)&gt;0,IF(OR(ISLOGICAL(J1239),J1239="TRUE"),"Yes",""),"")</f>
      </c>
      <c r="L1239" s="59"/>
      <c r="M1239" s="59"/>
      <c r="N1239" s="62" t="str">
        <f>IF(LEN(M1239)&gt;0,IF(OR(ISLOGICAL(M1239),M1239="TRUE"),"Yes",""),"")</f>
      </c>
      <c r="O1239" s="59"/>
      <c r="P1239" s="62" t="str">
        <f>IF(LEN(O1239)&gt;0,IF(OR(ISLOGICAL(O1239),O1239="TRUE"),"Yes",""),"")</f>
      </c>
      <c r="Q1239" s="62" t="s">
        <v>104</v>
      </c>
      <c r="R1239" s="63"/>
    </row>
    <row r="1240" spans="1:18" s="47" customFormat="1" ht="51">
      <c r="A1240" s="63" t="s">
        <v>2554</v>
      </c>
      <c r="B1240" s="63" t="s">
        <v>96</v>
      </c>
      <c r="C1240" s="63" t="s">
        <v>2555</v>
      </c>
      <c r="D1240" s="61"/>
      <c r="E1240" s="45">
        <v>0.03</v>
      </c>
      <c r="F1240" s="45">
        <v>0.03</v>
      </c>
      <c r="G1240" s="66">
        <v>46078</v>
      </c>
      <c r="H1240" s="45" t="str">
        <f>IF(ISNUMBER(E1240),F1240-E1240,"N/A")</f>
        <v>N/A</v>
      </c>
      <c r="I1240" s="46" t="str">
        <f>IF(E1240&lt;&gt;"",IF(F1240=E1240,"No Change",IF(F1240&gt;E1240,"Increase","Decrease")),"New")</f>
        <v>Increase</v>
      </c>
      <c r="J1240" s="58"/>
      <c r="K1240" s="59" t="str">
        <f>IF(LEN(J1240)&gt;0,IF(OR(ISLOGICAL(J1240),J1240="TRUE"),"Yes",""),"")</f>
      </c>
      <c r="L1240" s="59"/>
      <c r="M1240" s="59"/>
      <c r="N1240" s="62" t="str">
        <f>IF(LEN(M1240)&gt;0,IF(OR(ISLOGICAL(M1240),M1240="TRUE"),"Yes",""),"")</f>
      </c>
      <c r="O1240" s="59"/>
      <c r="P1240" s="62" t="str">
        <f>IF(LEN(O1240)&gt;0,IF(OR(ISLOGICAL(O1240),O1240="TRUE"),"Yes",""),"")</f>
      </c>
      <c r="Q1240" s="62" t="s">
        <v>104</v>
      </c>
      <c r="R1240" s="63"/>
    </row>
    <row r="1241" spans="1:18" s="47" customFormat="1" ht="51">
      <c r="A1241" s="63" t="s">
        <v>2556</v>
      </c>
      <c r="B1241" s="63" t="s">
        <v>96</v>
      </c>
      <c r="C1241" s="63" t="s">
        <v>2557</v>
      </c>
      <c r="D1241" s="61"/>
      <c r="E1241" s="45">
        <v>0.017</v>
      </c>
      <c r="F1241" s="45">
        <v>0.017</v>
      </c>
      <c r="G1241" s="66">
        <v>44266</v>
      </c>
      <c r="H1241" s="45" t="str">
        <f>IF(ISNUMBER(E1241),F1241-E1241,"N/A")</f>
        <v>N/A</v>
      </c>
      <c r="I1241" s="46" t="str">
        <f>IF(E1241&lt;&gt;"",IF(F1241=E1241,"No Change",IF(F1241&gt;E1241,"Increase","Decrease")),"New")</f>
        <v>Increase</v>
      </c>
      <c r="J1241" s="58"/>
      <c r="K1241" s="59" t="str">
        <f>IF(LEN(J1241)&gt;0,IF(OR(ISLOGICAL(J1241),J1241="TRUE"),"Yes",""),"")</f>
      </c>
      <c r="L1241" s="59"/>
      <c r="M1241" s="59"/>
      <c r="N1241" s="62" t="str">
        <f>IF(LEN(M1241)&gt;0,IF(OR(ISLOGICAL(M1241),M1241="TRUE"),"Yes",""),"")</f>
      </c>
      <c r="O1241" s="59"/>
      <c r="P1241" s="62" t="str">
        <f>IF(LEN(O1241)&gt;0,IF(OR(ISLOGICAL(O1241),O1241="TRUE"),"Yes",""),"")</f>
      </c>
      <c r="Q1241" s="62" t="s">
        <v>98</v>
      </c>
      <c r="R1241" s="63"/>
    </row>
    <row r="1242" spans="1:18" s="47" customFormat="1" ht="51">
      <c r="A1242" s="63" t="s">
        <v>2558</v>
      </c>
      <c r="B1242" s="63" t="s">
        <v>96</v>
      </c>
      <c r="C1242" s="63" t="s">
        <v>2559</v>
      </c>
      <c r="D1242" s="61"/>
      <c r="E1242" s="45">
        <v>0.015</v>
      </c>
      <c r="F1242" s="45">
        <v>0.015</v>
      </c>
      <c r="G1242" s="66">
        <v>46148</v>
      </c>
      <c r="H1242" s="45" t="str">
        <f>IF(ISNUMBER(E1242),F1242-E1242,"N/A")</f>
        <v>N/A</v>
      </c>
      <c r="I1242" s="46" t="str">
        <f>IF(E1242&lt;&gt;"",IF(F1242=E1242,"No Change",IF(F1242&gt;E1242,"Increase","Decrease")),"New")</f>
        <v>Increase</v>
      </c>
      <c r="J1242" s="58" t="s">
        <v>122</v>
      </c>
      <c r="K1242" s="59" t="str">
        <f>IF(LEN(J1242)&gt;0,IF(OR(ISLOGICAL(J1242),J1242="TRUE"),"Yes",""),"")</f>
      </c>
      <c r="L1242" s="59"/>
      <c r="M1242" s="59"/>
      <c r="N1242" s="62" t="str">
        <f>IF(LEN(M1242)&gt;0,IF(OR(ISLOGICAL(M1242),M1242="TRUE"),"Yes",""),"")</f>
      </c>
      <c r="O1242" s="59"/>
      <c r="P1242" s="62" t="str">
        <f>IF(LEN(O1242)&gt;0,IF(OR(ISLOGICAL(O1242),O1242="TRUE"),"Yes",""),"")</f>
      </c>
      <c r="Q1242" s="62" t="s">
        <v>98</v>
      </c>
      <c r="R1242" s="63"/>
    </row>
    <row r="1243" spans="1:18" s="47" customFormat="1" ht="51">
      <c r="A1243" s="63" t="s">
        <v>2560</v>
      </c>
      <c r="B1243" s="63" t="s">
        <v>96</v>
      </c>
      <c r="C1243" s="63" t="s">
        <v>2561</v>
      </c>
      <c r="D1243" s="61"/>
      <c r="E1243" s="45">
        <v>0.015</v>
      </c>
      <c r="F1243" s="45">
        <v>0.015</v>
      </c>
      <c r="G1243" s="66">
        <v>46078</v>
      </c>
      <c r="H1243" s="45" t="str">
        <f>IF(ISNUMBER(E1243),F1243-E1243,"N/A")</f>
        <v>N/A</v>
      </c>
      <c r="I1243" s="46" t="str">
        <f>IF(E1243&lt;&gt;"",IF(F1243=E1243,"No Change",IF(F1243&gt;E1243,"Increase","Decrease")),"New")</f>
        <v>Increase</v>
      </c>
      <c r="J1243" s="58" t="s">
        <v>122</v>
      </c>
      <c r="K1243" s="59" t="str">
        <f>IF(LEN(J1243)&gt;0,IF(OR(ISLOGICAL(J1243),J1243="TRUE"),"Yes",""),"")</f>
      </c>
      <c r="L1243" s="59"/>
      <c r="M1243" s="59"/>
      <c r="N1243" s="62" t="str">
        <f>IF(LEN(M1243)&gt;0,IF(OR(ISLOGICAL(M1243),M1243="TRUE"),"Yes",""),"")</f>
      </c>
      <c r="O1243" s="59"/>
      <c r="P1243" s="62" t="str">
        <f>IF(LEN(O1243)&gt;0,IF(OR(ISLOGICAL(O1243),O1243="TRUE"),"Yes",""),"")</f>
      </c>
      <c r="Q1243" s="62" t="s">
        <v>98</v>
      </c>
      <c r="R1243" s="63"/>
    </row>
    <row r="1244" spans="1:18" s="47" customFormat="1" ht="51">
      <c r="A1244" s="63" t="s">
        <v>2562</v>
      </c>
      <c r="B1244" s="63" t="s">
        <v>96</v>
      </c>
      <c r="C1244" s="63" t="s">
        <v>2563</v>
      </c>
      <c r="D1244" s="61"/>
      <c r="E1244" s="45">
        <v>0.0715</v>
      </c>
      <c r="F1244" s="45">
        <v>0.0715</v>
      </c>
      <c r="G1244" s="66">
        <v>46143</v>
      </c>
      <c r="H1244" s="45" t="str">
        <f>IF(ISNUMBER(E1244),F1244-E1244,"N/A")</f>
        <v>N/A</v>
      </c>
      <c r="I1244" s="46" t="str">
        <f>IF(E1244&lt;&gt;"",IF(F1244=E1244,"No Change",IF(F1244&gt;E1244,"Increase","Decrease")),"New")</f>
        <v>Increase</v>
      </c>
      <c r="J1244" s="58"/>
      <c r="K1244" s="59" t="str">
        <f>IF(LEN(J1244)&gt;0,IF(OR(ISLOGICAL(J1244),J1244="TRUE"),"Yes",""),"")</f>
      </c>
      <c r="L1244" s="59"/>
      <c r="M1244" s="59"/>
      <c r="N1244" s="62" t="str">
        <f>IF(LEN(M1244)&gt;0,IF(OR(ISLOGICAL(M1244),M1244="TRUE"),"Yes",""),"")</f>
      </c>
      <c r="O1244" s="59"/>
      <c r="P1244" s="62" t="str">
        <f>IF(LEN(O1244)&gt;0,IF(OR(ISLOGICAL(O1244),O1244="TRUE"),"Yes",""),"")</f>
      </c>
      <c r="Q1244" s="62" t="s">
        <v>98</v>
      </c>
      <c r="R1244" s="63"/>
    </row>
    <row r="1245" spans="1:18" s="47" customFormat="1" ht="51">
      <c r="A1245" s="63" t="s">
        <v>2564</v>
      </c>
      <c r="B1245" s="63" t="s">
        <v>96</v>
      </c>
      <c r="C1245" s="63" t="s">
        <v>2565</v>
      </c>
      <c r="D1245" s="61"/>
      <c r="E1245" s="45">
        <v>0.0715</v>
      </c>
      <c r="F1245" s="45">
        <v>0.0715</v>
      </c>
      <c r="G1245" s="66">
        <v>46134</v>
      </c>
      <c r="H1245" s="45" t="str">
        <f>IF(ISNUMBER(E1245),F1245-E1245,"N/A")</f>
        <v>N/A</v>
      </c>
      <c r="I1245" s="46" t="str">
        <f>IF(E1245&lt;&gt;"",IF(F1245=E1245,"No Change",IF(F1245&gt;E1245,"Increase","Decrease")),"New")</f>
        <v>Increase</v>
      </c>
      <c r="J1245" s="58"/>
      <c r="K1245" s="59" t="str">
        <f>IF(LEN(J1245)&gt;0,IF(OR(ISLOGICAL(J1245),J1245="TRUE"),"Yes",""),"")</f>
      </c>
      <c r="L1245" s="59"/>
      <c r="M1245" s="59"/>
      <c r="N1245" s="62" t="str">
        <f>IF(LEN(M1245)&gt;0,IF(OR(ISLOGICAL(M1245),M1245="TRUE"),"Yes",""),"")</f>
      </c>
      <c r="O1245" s="59"/>
      <c r="P1245" s="62" t="str">
        <f>IF(LEN(O1245)&gt;0,IF(OR(ISLOGICAL(O1245),O1245="TRUE"),"Yes",""),"")</f>
      </c>
      <c r="Q1245" s="62" t="s">
        <v>98</v>
      </c>
      <c r="R1245" s="63"/>
    </row>
    <row r="1246" spans="1:18" s="47" customFormat="1" ht="51">
      <c r="A1246" s="63" t="s">
        <v>2566</v>
      </c>
      <c r="B1246" s="63" t="s">
        <v>96</v>
      </c>
      <c r="C1246" s="63" t="s">
        <v>2567</v>
      </c>
      <c r="D1246" s="61"/>
      <c r="E1246" s="45">
        <v>0.0715</v>
      </c>
      <c r="F1246" s="45">
        <v>0.0715</v>
      </c>
      <c r="G1246" s="66">
        <v>46134</v>
      </c>
      <c r="H1246" s="45" t="str">
        <f>IF(ISNUMBER(E1246),F1246-E1246,"N/A")</f>
        <v>N/A</v>
      </c>
      <c r="I1246" s="46" t="str">
        <f>IF(E1246&lt;&gt;"",IF(F1246=E1246,"No Change",IF(F1246&gt;E1246,"Increase","Decrease")),"New")</f>
        <v>Increase</v>
      </c>
      <c r="J1246" s="58"/>
      <c r="K1246" s="59" t="str">
        <f>IF(LEN(J1246)&gt;0,IF(OR(ISLOGICAL(J1246),J1246="TRUE"),"Yes",""),"")</f>
      </c>
      <c r="L1246" s="59"/>
      <c r="M1246" s="59"/>
      <c r="N1246" s="62" t="str">
        <f>IF(LEN(M1246)&gt;0,IF(OR(ISLOGICAL(M1246),M1246="TRUE"),"Yes",""),"")</f>
      </c>
      <c r="O1246" s="59"/>
      <c r="P1246" s="62" t="str">
        <f>IF(LEN(O1246)&gt;0,IF(OR(ISLOGICAL(O1246),O1246="TRUE"),"Yes",""),"")</f>
      </c>
      <c r="Q1246" s="62" t="s">
        <v>98</v>
      </c>
      <c r="R1246" s="63"/>
    </row>
    <row r="1247" spans="1:18" s="47" customFormat="1" ht="51">
      <c r="A1247" s="63" t="s">
        <v>2568</v>
      </c>
      <c r="B1247" s="63" t="s">
        <v>96</v>
      </c>
      <c r="C1247" s="63" t="s">
        <v>2569</v>
      </c>
      <c r="D1247" s="61"/>
      <c r="E1247" s="45">
        <v>0.0715</v>
      </c>
      <c r="F1247" s="45">
        <v>0.0715</v>
      </c>
      <c r="G1247" s="66">
        <v>46143</v>
      </c>
      <c r="H1247" s="45" t="str">
        <f>IF(ISNUMBER(E1247),F1247-E1247,"N/A")</f>
        <v>N/A</v>
      </c>
      <c r="I1247" s="46" t="str">
        <f>IF(E1247&lt;&gt;"",IF(F1247=E1247,"No Change",IF(F1247&gt;E1247,"Increase","Decrease")),"New")</f>
        <v>Increase</v>
      </c>
      <c r="J1247" s="58"/>
      <c r="K1247" s="59" t="str">
        <f>IF(LEN(J1247)&gt;0,IF(OR(ISLOGICAL(J1247),J1247="TRUE"),"Yes",""),"")</f>
      </c>
      <c r="L1247" s="59"/>
      <c r="M1247" s="59"/>
      <c r="N1247" s="62" t="str">
        <f>IF(LEN(M1247)&gt;0,IF(OR(ISLOGICAL(M1247),M1247="TRUE"),"Yes",""),"")</f>
      </c>
      <c r="O1247" s="59"/>
      <c r="P1247" s="62" t="str">
        <f>IF(LEN(O1247)&gt;0,IF(OR(ISLOGICAL(O1247),O1247="TRUE"),"Yes",""),"")</f>
      </c>
      <c r="Q1247" s="62" t="s">
        <v>98</v>
      </c>
      <c r="R1247" s="63"/>
    </row>
    <row r="1248" spans="1:18" s="47" customFormat="1" ht="51">
      <c r="A1248" s="63" t="s">
        <v>2570</v>
      </c>
      <c r="B1248" s="63" t="s">
        <v>96</v>
      </c>
      <c r="C1248" s="63" t="s">
        <v>2571</v>
      </c>
      <c r="D1248" s="61"/>
      <c r="E1248" s="45">
        <v>0.0715</v>
      </c>
      <c r="F1248" s="45">
        <v>0.0715</v>
      </c>
      <c r="G1248" s="66">
        <v>46134</v>
      </c>
      <c r="H1248" s="45" t="str">
        <f>IF(ISNUMBER(E1248),F1248-E1248,"N/A")</f>
        <v>N/A</v>
      </c>
      <c r="I1248" s="46" t="str">
        <f>IF(E1248&lt;&gt;"",IF(F1248=E1248,"No Change",IF(F1248&gt;E1248,"Increase","Decrease")),"New")</f>
        <v>Increase</v>
      </c>
      <c r="J1248" s="58"/>
      <c r="K1248" s="59" t="str">
        <f>IF(LEN(J1248)&gt;0,IF(OR(ISLOGICAL(J1248),J1248="TRUE"),"Yes",""),"")</f>
      </c>
      <c r="L1248" s="59"/>
      <c r="M1248" s="59"/>
      <c r="N1248" s="62" t="str">
        <f>IF(LEN(M1248)&gt;0,IF(OR(ISLOGICAL(M1248),M1248="TRUE"),"Yes",""),"")</f>
      </c>
      <c r="O1248" s="59"/>
      <c r="P1248" s="62" t="str">
        <f>IF(LEN(O1248)&gt;0,IF(OR(ISLOGICAL(O1248),O1248="TRUE"),"Yes",""),"")</f>
      </c>
      <c r="Q1248" s="62" t="s">
        <v>98</v>
      </c>
      <c r="R1248" s="63"/>
    </row>
    <row r="1249" spans="1:18" s="47" customFormat="1" ht="51">
      <c r="A1249" s="63" t="s">
        <v>2572</v>
      </c>
      <c r="B1249" s="63" t="s">
        <v>96</v>
      </c>
      <c r="C1249" s="63" t="s">
        <v>2573</v>
      </c>
      <c r="D1249" s="61"/>
      <c r="E1249" s="45">
        <v>0.0715</v>
      </c>
      <c r="F1249" s="45">
        <v>0.0715</v>
      </c>
      <c r="G1249" s="66">
        <v>46134</v>
      </c>
      <c r="H1249" s="45" t="str">
        <f>IF(ISNUMBER(E1249),F1249-E1249,"N/A")</f>
        <v>N/A</v>
      </c>
      <c r="I1249" s="46" t="str">
        <f>IF(E1249&lt;&gt;"",IF(F1249=E1249,"No Change",IF(F1249&gt;E1249,"Increase","Decrease")),"New")</f>
        <v>Increase</v>
      </c>
      <c r="J1249" s="58"/>
      <c r="K1249" s="59" t="str">
        <f>IF(LEN(J1249)&gt;0,IF(OR(ISLOGICAL(J1249),J1249="TRUE"),"Yes",""),"")</f>
      </c>
      <c r="L1249" s="59"/>
      <c r="M1249" s="59"/>
      <c r="N1249" s="62" t="str">
        <f>IF(LEN(M1249)&gt;0,IF(OR(ISLOGICAL(M1249),M1249="TRUE"),"Yes",""),"")</f>
      </c>
      <c r="O1249" s="59"/>
      <c r="P1249" s="62" t="str">
        <f>IF(LEN(O1249)&gt;0,IF(OR(ISLOGICAL(O1249),O1249="TRUE"),"Yes",""),"")</f>
      </c>
      <c r="Q1249" s="62" t="s">
        <v>98</v>
      </c>
      <c r="R1249" s="63"/>
    </row>
    <row r="1250" spans="1:18" s="47" customFormat="1" ht="51">
      <c r="A1250" s="63" t="s">
        <v>2574</v>
      </c>
      <c r="B1250" s="63" t="s">
        <v>96</v>
      </c>
      <c r="C1250" s="63" t="s">
        <v>2575</v>
      </c>
      <c r="D1250" s="61"/>
      <c r="E1250" s="45">
        <v>0.7525</v>
      </c>
      <c r="F1250" s="45">
        <v>0.7525</v>
      </c>
      <c r="G1250" s="66">
        <v>44920</v>
      </c>
      <c r="H1250" s="45" t="str">
        <f>IF(ISNUMBER(E1250),F1250-E1250,"N/A")</f>
        <v>N/A</v>
      </c>
      <c r="I1250" s="46" t="str">
        <f>IF(E1250&lt;&gt;"",IF(F1250=E1250,"No Change",IF(F1250&gt;E1250,"Increase","Decrease")),"New")</f>
        <v>Increase</v>
      </c>
      <c r="J1250" s="58" t="s">
        <v>122</v>
      </c>
      <c r="K1250" s="59" t="str">
        <f>IF(LEN(J1250)&gt;0,IF(OR(ISLOGICAL(J1250),J1250="TRUE"),"Yes",""),"")</f>
      </c>
      <c r="L1250" s="59"/>
      <c r="M1250" s="59"/>
      <c r="N1250" s="62" t="str">
        <f>IF(LEN(M1250)&gt;0,IF(OR(ISLOGICAL(M1250),M1250="TRUE"),"Yes",""),"")</f>
      </c>
      <c r="O1250" s="59"/>
      <c r="P1250" s="62" t="str">
        <f>IF(LEN(O1250)&gt;0,IF(OR(ISLOGICAL(O1250),O1250="TRUE"),"Yes",""),"")</f>
      </c>
      <c r="Q1250" s="62" t="s">
        <v>109</v>
      </c>
      <c r="R1250" s="63"/>
    </row>
    <row r="1251" spans="1:18" s="47" customFormat="1" ht="51">
      <c r="A1251" s="63" t="s">
        <v>2576</v>
      </c>
      <c r="B1251" s="63" t="s">
        <v>96</v>
      </c>
      <c r="C1251" s="63" t="s">
        <v>2577</v>
      </c>
      <c r="D1251" s="61"/>
      <c r="E1251" s="45">
        <v>0.84</v>
      </c>
      <c r="F1251" s="45">
        <v>0.84</v>
      </c>
      <c r="G1251" s="66">
        <v>44517</v>
      </c>
      <c r="H1251" s="45" t="str">
        <f>IF(ISNUMBER(E1251),F1251-E1251,"N/A")</f>
        <v>N/A</v>
      </c>
      <c r="I1251" s="46" t="str">
        <f>IF(E1251&lt;&gt;"",IF(F1251=E1251,"No Change",IF(F1251&gt;E1251,"Increase","Decrease")),"New")</f>
        <v>Increase</v>
      </c>
      <c r="J1251" s="58" t="s">
        <v>122</v>
      </c>
      <c r="K1251" s="59" t="str">
        <f>IF(LEN(J1251)&gt;0,IF(OR(ISLOGICAL(J1251),J1251="TRUE"),"Yes",""),"")</f>
      </c>
      <c r="L1251" s="59"/>
      <c r="M1251" s="59"/>
      <c r="N1251" s="62" t="str">
        <f>IF(LEN(M1251)&gt;0,IF(OR(ISLOGICAL(M1251),M1251="TRUE"),"Yes",""),"")</f>
      </c>
      <c r="O1251" s="59"/>
      <c r="P1251" s="62" t="str">
        <f>IF(LEN(O1251)&gt;0,IF(OR(ISLOGICAL(O1251),O1251="TRUE"),"Yes",""),"")</f>
      </c>
      <c r="Q1251" s="62" t="s">
        <v>109</v>
      </c>
      <c r="R1251" s="63"/>
    </row>
    <row r="1252" spans="1:18" s="47" customFormat="1" ht="51">
      <c r="A1252" s="63" t="s">
        <v>2578</v>
      </c>
      <c r="B1252" s="63" t="s">
        <v>96</v>
      </c>
      <c r="C1252" s="63" t="s">
        <v>2579</v>
      </c>
      <c r="D1252" s="61"/>
      <c r="E1252" s="45">
        <v>0.7525</v>
      </c>
      <c r="F1252" s="45">
        <v>0.7525</v>
      </c>
      <c r="G1252" s="66">
        <v>43983</v>
      </c>
      <c r="H1252" s="45" t="str">
        <f>IF(ISNUMBER(E1252),F1252-E1252,"N/A")</f>
        <v>N/A</v>
      </c>
      <c r="I1252" s="46" t="str">
        <f>IF(E1252&lt;&gt;"",IF(F1252=E1252,"No Change",IF(F1252&gt;E1252,"Increase","Decrease")),"New")</f>
        <v>Increase</v>
      </c>
      <c r="J1252" s="58" t="s">
        <v>122</v>
      </c>
      <c r="K1252" s="59" t="str">
        <f>IF(LEN(J1252)&gt;0,IF(OR(ISLOGICAL(J1252),J1252="TRUE"),"Yes",""),"")</f>
      </c>
      <c r="L1252" s="59"/>
      <c r="M1252" s="59"/>
      <c r="N1252" s="62" t="str">
        <f>IF(LEN(M1252)&gt;0,IF(OR(ISLOGICAL(M1252),M1252="TRUE"),"Yes",""),"")</f>
      </c>
      <c r="O1252" s="59"/>
      <c r="P1252" s="62" t="str">
        <f>IF(LEN(O1252)&gt;0,IF(OR(ISLOGICAL(O1252),O1252="TRUE"),"Yes",""),"")</f>
      </c>
      <c r="Q1252" s="62" t="s">
        <v>109</v>
      </c>
      <c r="R1252" s="63"/>
    </row>
    <row r="1253" spans="1:18" s="47" customFormat="1" ht="51">
      <c r="A1253" s="63" t="s">
        <v>2580</v>
      </c>
      <c r="B1253" s="63" t="s">
        <v>96</v>
      </c>
      <c r="C1253" s="63" t="s">
        <v>2581</v>
      </c>
      <c r="D1253" s="61"/>
      <c r="E1253" s="45">
        <v>0.84</v>
      </c>
      <c r="F1253" s="45">
        <v>0.84</v>
      </c>
      <c r="G1253" s="66">
        <v>45474</v>
      </c>
      <c r="H1253" s="45" t="str">
        <f>IF(ISNUMBER(E1253),F1253-E1253,"N/A")</f>
        <v>N/A</v>
      </c>
      <c r="I1253" s="46" t="str">
        <f>IF(E1253&lt;&gt;"",IF(F1253=E1253,"No Change",IF(F1253&gt;E1253,"Increase","Decrease")),"New")</f>
        <v>Increase</v>
      </c>
      <c r="J1253" s="58" t="s">
        <v>122</v>
      </c>
      <c r="K1253" s="59" t="str">
        <f>IF(LEN(J1253)&gt;0,IF(OR(ISLOGICAL(J1253),J1253="TRUE"),"Yes",""),"")</f>
      </c>
      <c r="L1253" s="59"/>
      <c r="M1253" s="59"/>
      <c r="N1253" s="62" t="str">
        <f>IF(LEN(M1253)&gt;0,IF(OR(ISLOGICAL(M1253),M1253="TRUE"),"Yes",""),"")</f>
      </c>
      <c r="O1253" s="59"/>
      <c r="P1253" s="62" t="str">
        <f>IF(LEN(O1253)&gt;0,IF(OR(ISLOGICAL(O1253),O1253="TRUE"),"Yes",""),"")</f>
      </c>
      <c r="Q1253" s="62" t="s">
        <v>109</v>
      </c>
      <c r="R1253" s="63"/>
    </row>
    <row r="1254" spans="1:18" s="47" customFormat="1" ht="51">
      <c r="A1254" s="63" t="s">
        <v>2582</v>
      </c>
      <c r="B1254" s="63" t="s">
        <v>96</v>
      </c>
      <c r="C1254" s="63" t="s">
        <v>2583</v>
      </c>
      <c r="D1254" s="61"/>
      <c r="E1254" s="45">
        <v>0.99</v>
      </c>
      <c r="F1254" s="45">
        <v>0.99</v>
      </c>
      <c r="G1254" s="66">
        <v>45474</v>
      </c>
      <c r="H1254" s="45" t="str">
        <f>IF(ISNUMBER(E1254),F1254-E1254,"N/A")</f>
        <v>N/A</v>
      </c>
      <c r="I1254" s="46" t="str">
        <f>IF(E1254&lt;&gt;"",IF(F1254=E1254,"No Change",IF(F1254&gt;E1254,"Increase","Decrease")),"New")</f>
        <v>Increase</v>
      </c>
      <c r="J1254" s="58"/>
      <c r="K1254" s="59" t="str">
        <f>IF(LEN(J1254)&gt;0,IF(OR(ISLOGICAL(J1254),J1254="TRUE"),"Yes",""),"")</f>
      </c>
      <c r="L1254" s="59"/>
      <c r="M1254" s="59"/>
      <c r="N1254" s="62" t="str">
        <f>IF(LEN(M1254)&gt;0,IF(OR(ISLOGICAL(M1254),M1254="TRUE"),"Yes",""),"")</f>
      </c>
      <c r="O1254" s="59"/>
      <c r="P1254" s="62" t="str">
        <f>IF(LEN(O1254)&gt;0,IF(OR(ISLOGICAL(O1254),O1254="TRUE"),"Yes",""),"")</f>
      </c>
      <c r="Q1254" s="62" t="s">
        <v>109</v>
      </c>
      <c r="R1254" s="63"/>
    </row>
    <row r="1255" spans="1:18" s="47" customFormat="1" ht="51">
      <c r="A1255" s="63" t="s">
        <v>2584</v>
      </c>
      <c r="B1255" s="63" t="s">
        <v>96</v>
      </c>
      <c r="C1255" s="63" t="s">
        <v>2585</v>
      </c>
      <c r="D1255" s="61"/>
      <c r="E1255" s="45">
        <v>0.007</v>
      </c>
      <c r="F1255" s="45">
        <v>0.007</v>
      </c>
      <c r="G1255" s="66">
        <v>46092</v>
      </c>
      <c r="H1255" s="45" t="str">
        <f>IF(ISNUMBER(E1255),F1255-E1255,"N/A")</f>
        <v>N/A</v>
      </c>
      <c r="I1255" s="46" t="str">
        <f>IF(E1255&lt;&gt;"",IF(F1255=E1255,"No Change",IF(F1255&gt;E1255,"Increase","Decrease")),"New")</f>
        <v>Increase</v>
      </c>
      <c r="J1255" s="58"/>
      <c r="K1255" s="59" t="str">
        <f>IF(LEN(J1255)&gt;0,IF(OR(ISLOGICAL(J1255),J1255="TRUE"),"Yes",""),"")</f>
      </c>
      <c r="L1255" s="59"/>
      <c r="M1255" s="59"/>
      <c r="N1255" s="62" t="str">
        <f>IF(LEN(M1255)&gt;0,IF(OR(ISLOGICAL(M1255),M1255="TRUE"),"Yes",""),"")</f>
      </c>
      <c r="O1255" s="59"/>
      <c r="P1255" s="62" t="str">
        <f>IF(LEN(O1255)&gt;0,IF(OR(ISLOGICAL(O1255),O1255="TRUE"),"Yes",""),"")</f>
      </c>
      <c r="Q1255" s="62" t="s">
        <v>98</v>
      </c>
      <c r="R1255" s="63"/>
    </row>
    <row r="1256" spans="1:18" s="47" customFormat="1" ht="51">
      <c r="A1256" s="63" t="s">
        <v>2586</v>
      </c>
      <c r="B1256" s="63" t="s">
        <v>96</v>
      </c>
      <c r="C1256" s="63" t="s">
        <v>2587</v>
      </c>
      <c r="D1256" s="61"/>
      <c r="E1256" s="45">
        <v>0.077</v>
      </c>
      <c r="F1256" s="45">
        <v>0.077</v>
      </c>
      <c r="G1256" s="66">
        <v>45987</v>
      </c>
      <c r="H1256" s="45" t="str">
        <f>IF(ISNUMBER(E1256),F1256-E1256,"N/A")</f>
        <v>N/A</v>
      </c>
      <c r="I1256" s="46" t="str">
        <f>IF(E1256&lt;&gt;"",IF(F1256=E1256,"No Change",IF(F1256&gt;E1256,"Increase","Decrease")),"New")</f>
        <v>Increase</v>
      </c>
      <c r="J1256" s="58" t="s">
        <v>122</v>
      </c>
      <c r="K1256" s="59" t="str">
        <f>IF(LEN(J1256)&gt;0,IF(OR(ISLOGICAL(J1256),J1256="TRUE"),"Yes",""),"")</f>
      </c>
      <c r="L1256" s="59"/>
      <c r="M1256" s="59"/>
      <c r="N1256" s="62" t="str">
        <f>IF(LEN(M1256)&gt;0,IF(OR(ISLOGICAL(M1256),M1256="TRUE"),"Yes",""),"")</f>
      </c>
      <c r="O1256" s="59"/>
      <c r="P1256" s="62" t="str">
        <f>IF(LEN(O1256)&gt;0,IF(OR(ISLOGICAL(O1256),O1256="TRUE"),"Yes",""),"")</f>
      </c>
      <c r="Q1256" s="62" t="s">
        <v>104</v>
      </c>
      <c r="R1256" s="63"/>
    </row>
    <row r="1257" spans="1:18" s="47" customFormat="1" ht="51">
      <c r="A1257" s="63" t="s">
        <v>2588</v>
      </c>
      <c r="B1257" s="63" t="s">
        <v>96</v>
      </c>
      <c r="C1257" s="63" t="s">
        <v>2589</v>
      </c>
      <c r="D1257" s="61"/>
      <c r="E1257" s="45">
        <v>0.017</v>
      </c>
      <c r="F1257" s="45">
        <v>0.017</v>
      </c>
      <c r="G1257" s="66">
        <v>44832</v>
      </c>
      <c r="H1257" s="45" t="str">
        <f>IF(ISNUMBER(E1257),F1257-E1257,"N/A")</f>
        <v>N/A</v>
      </c>
      <c r="I1257" s="46" t="str">
        <f>IF(E1257&lt;&gt;"",IF(F1257=E1257,"No Change",IF(F1257&gt;E1257,"Increase","Decrease")),"New")</f>
        <v>Increase</v>
      </c>
      <c r="J1257" s="58" t="s">
        <v>122</v>
      </c>
      <c r="K1257" s="59" t="str">
        <f>IF(LEN(J1257)&gt;0,IF(OR(ISLOGICAL(J1257),J1257="TRUE"),"Yes",""),"")</f>
      </c>
      <c r="L1257" s="59"/>
      <c r="M1257" s="59"/>
      <c r="N1257" s="62" t="str">
        <f>IF(LEN(M1257)&gt;0,IF(OR(ISLOGICAL(M1257),M1257="TRUE"),"Yes",""),"")</f>
      </c>
      <c r="O1257" s="59"/>
      <c r="P1257" s="62" t="str">
        <f>IF(LEN(O1257)&gt;0,IF(OR(ISLOGICAL(O1257),O1257="TRUE"),"Yes",""),"")</f>
      </c>
      <c r="Q1257" s="62" t="s">
        <v>98</v>
      </c>
      <c r="R1257" s="63"/>
    </row>
    <row r="1258" spans="1:18" s="47" customFormat="1" ht="51">
      <c r="A1258" s="63" t="s">
        <v>2590</v>
      </c>
      <c r="B1258" s="63" t="s">
        <v>96</v>
      </c>
      <c r="C1258" s="63" t="s">
        <v>2591</v>
      </c>
      <c r="D1258" s="61"/>
      <c r="E1258" s="45">
        <v>0.0588</v>
      </c>
      <c r="F1258" s="45">
        <v>0.0588</v>
      </c>
      <c r="G1258" s="66">
        <v>44734</v>
      </c>
      <c r="H1258" s="45" t="str">
        <f>IF(ISNUMBER(E1258),F1258-E1258,"N/A")</f>
        <v>N/A</v>
      </c>
      <c r="I1258" s="46" t="str">
        <f>IF(E1258&lt;&gt;"",IF(F1258=E1258,"No Change",IF(F1258&gt;E1258,"Increase","Decrease")),"New")</f>
        <v>Increase</v>
      </c>
      <c r="J1258" s="58" t="s">
        <v>122</v>
      </c>
      <c r="K1258" s="59" t="str">
        <f>IF(LEN(J1258)&gt;0,IF(OR(ISLOGICAL(J1258),J1258="TRUE"),"Yes",""),"")</f>
      </c>
      <c r="L1258" s="59"/>
      <c r="M1258" s="59"/>
      <c r="N1258" s="62" t="str">
        <f>IF(LEN(M1258)&gt;0,IF(OR(ISLOGICAL(M1258),M1258="TRUE"),"Yes",""),"")</f>
      </c>
      <c r="O1258" s="59"/>
      <c r="P1258" s="62" t="str">
        <f>IF(LEN(O1258)&gt;0,IF(OR(ISLOGICAL(O1258),O1258="TRUE"),"Yes",""),"")</f>
      </c>
      <c r="Q1258" s="62" t="s">
        <v>98</v>
      </c>
      <c r="R1258" s="63"/>
    </row>
    <row r="1259" spans="1:18" s="47" customFormat="1" ht="51">
      <c r="A1259" s="63" t="s">
        <v>2592</v>
      </c>
      <c r="B1259" s="63" t="s">
        <v>96</v>
      </c>
      <c r="C1259" s="63" t="s">
        <v>2593</v>
      </c>
      <c r="D1259" s="61"/>
      <c r="E1259" s="45">
        <v>0.041</v>
      </c>
      <c r="F1259" s="45">
        <v>0.041</v>
      </c>
      <c r="G1259" s="66">
        <v>46082</v>
      </c>
      <c r="H1259" s="45" t="str">
        <f>IF(ISNUMBER(E1259),F1259-E1259,"N/A")</f>
        <v>N/A</v>
      </c>
      <c r="I1259" s="46" t="str">
        <f>IF(E1259&lt;&gt;"",IF(F1259=E1259,"No Change",IF(F1259&gt;E1259,"Increase","Decrease")),"New")</f>
        <v>Increase</v>
      </c>
      <c r="J1259" s="58"/>
      <c r="K1259" s="59" t="str">
        <f>IF(LEN(J1259)&gt;0,IF(OR(ISLOGICAL(J1259),J1259="TRUE"),"Yes",""),"")</f>
      </c>
      <c r="L1259" s="59"/>
      <c r="M1259" s="59"/>
      <c r="N1259" s="62" t="str">
        <f>IF(LEN(M1259)&gt;0,IF(OR(ISLOGICAL(M1259),M1259="TRUE"),"Yes",""),"")</f>
      </c>
      <c r="O1259" s="59"/>
      <c r="P1259" s="62" t="str">
        <f>IF(LEN(O1259)&gt;0,IF(OR(ISLOGICAL(O1259),O1259="TRUE"),"Yes",""),"")</f>
      </c>
      <c r="Q1259" s="62" t="s">
        <v>98</v>
      </c>
      <c r="R1259" s="63"/>
    </row>
    <row r="1260" spans="1:18" s="47" customFormat="1" ht="51">
      <c r="A1260" s="63" t="s">
        <v>2594</v>
      </c>
      <c r="B1260" s="63" t="s">
        <v>96</v>
      </c>
      <c r="C1260" s="63" t="s">
        <v>2595</v>
      </c>
      <c r="D1260" s="61"/>
      <c r="E1260" s="45">
        <v>0.0795</v>
      </c>
      <c r="F1260" s="45">
        <v>0.0795</v>
      </c>
      <c r="G1260" s="66">
        <v>46082</v>
      </c>
      <c r="H1260" s="45" t="str">
        <f>IF(ISNUMBER(E1260),F1260-E1260,"N/A")</f>
        <v>N/A</v>
      </c>
      <c r="I1260" s="46" t="str">
        <f>IF(E1260&lt;&gt;"",IF(F1260=E1260,"No Change",IF(F1260&gt;E1260,"Increase","Decrease")),"New")</f>
        <v>Increase</v>
      </c>
      <c r="J1260" s="58"/>
      <c r="K1260" s="59" t="str">
        <f>IF(LEN(J1260)&gt;0,IF(OR(ISLOGICAL(J1260),J1260="TRUE"),"Yes",""),"")</f>
      </c>
      <c r="L1260" s="59"/>
      <c r="M1260" s="59"/>
      <c r="N1260" s="62" t="str">
        <f>IF(LEN(M1260)&gt;0,IF(OR(ISLOGICAL(M1260),M1260="TRUE"),"Yes",""),"")</f>
      </c>
      <c r="O1260" s="59"/>
      <c r="P1260" s="62" t="str">
        <f>IF(LEN(O1260)&gt;0,IF(OR(ISLOGICAL(O1260),O1260="TRUE"),"Yes",""),"")</f>
      </c>
      <c r="Q1260" s="62" t="s">
        <v>98</v>
      </c>
      <c r="R1260" s="63"/>
    </row>
    <row r="1261" spans="1:18" s="47" customFormat="1" ht="51">
      <c r="A1261" s="63" t="s">
        <v>2596</v>
      </c>
      <c r="B1261" s="63" t="s">
        <v>96</v>
      </c>
      <c r="C1261" s="63" t="s">
        <v>2597</v>
      </c>
      <c r="D1261" s="61"/>
      <c r="E1261" s="45">
        <v>0.045</v>
      </c>
      <c r="F1261" s="45">
        <v>0.045</v>
      </c>
      <c r="G1261" s="66">
        <v>46092</v>
      </c>
      <c r="H1261" s="45" t="str">
        <f>IF(ISNUMBER(E1261),F1261-E1261,"N/A")</f>
        <v>N/A</v>
      </c>
      <c r="I1261" s="46" t="str">
        <f>IF(E1261&lt;&gt;"",IF(F1261=E1261,"No Change",IF(F1261&gt;E1261,"Increase","Decrease")),"New")</f>
        <v>Increase</v>
      </c>
      <c r="J1261" s="58"/>
      <c r="K1261" s="59" t="str">
        <f>IF(LEN(J1261)&gt;0,IF(OR(ISLOGICAL(J1261),J1261="TRUE"),"Yes",""),"")</f>
      </c>
      <c r="L1261" s="59"/>
      <c r="M1261" s="59"/>
      <c r="N1261" s="62" t="str">
        <f>IF(LEN(M1261)&gt;0,IF(OR(ISLOGICAL(M1261),M1261="TRUE"),"Yes",""),"")</f>
      </c>
      <c r="O1261" s="59"/>
      <c r="P1261" s="62" t="str">
        <f>IF(LEN(O1261)&gt;0,IF(OR(ISLOGICAL(O1261),O1261="TRUE"),"Yes",""),"")</f>
      </c>
      <c r="Q1261" s="62" t="s">
        <v>104</v>
      </c>
      <c r="R1261" s="63"/>
    </row>
    <row r="1262" spans="1:18" s="47" customFormat="1" ht="51">
      <c r="A1262" s="63" t="s">
        <v>2598</v>
      </c>
      <c r="B1262" s="63" t="s">
        <v>96</v>
      </c>
      <c r="C1262" s="63" t="s">
        <v>2599</v>
      </c>
      <c r="D1262" s="61"/>
      <c r="E1262" s="45">
        <v>0.045</v>
      </c>
      <c r="F1262" s="45">
        <v>0.045</v>
      </c>
      <c r="G1262" s="66">
        <v>46078</v>
      </c>
      <c r="H1262" s="45" t="str">
        <f>IF(ISNUMBER(E1262),F1262-E1262,"N/A")</f>
        <v>N/A</v>
      </c>
      <c r="I1262" s="46" t="str">
        <f>IF(E1262&lt;&gt;"",IF(F1262=E1262,"No Change",IF(F1262&gt;E1262,"Increase","Decrease")),"New")</f>
        <v>Increase</v>
      </c>
      <c r="J1262" s="58" t="s">
        <v>122</v>
      </c>
      <c r="K1262" s="59" t="str">
        <f>IF(LEN(J1262)&gt;0,IF(OR(ISLOGICAL(J1262),J1262="TRUE"),"Yes",""),"")</f>
      </c>
      <c r="L1262" s="59"/>
      <c r="M1262" s="59"/>
      <c r="N1262" s="62" t="str">
        <f>IF(LEN(M1262)&gt;0,IF(OR(ISLOGICAL(M1262),M1262="TRUE"),"Yes",""),"")</f>
      </c>
      <c r="O1262" s="59"/>
      <c r="P1262" s="62" t="str">
        <f>IF(LEN(O1262)&gt;0,IF(OR(ISLOGICAL(O1262),O1262="TRUE"),"Yes",""),"")</f>
      </c>
      <c r="Q1262" s="62" t="s">
        <v>104</v>
      </c>
      <c r="R1262" s="63"/>
    </row>
    <row r="1263" spans="1:18" s="47" customFormat="1" ht="51">
      <c r="A1263" s="63" t="s">
        <v>2600</v>
      </c>
      <c r="B1263" s="63" t="s">
        <v>96</v>
      </c>
      <c r="C1263" s="63" t="s">
        <v>2601</v>
      </c>
      <c r="D1263" s="61"/>
      <c r="E1263" s="45">
        <v>0.045</v>
      </c>
      <c r="F1263" s="45">
        <v>0.045</v>
      </c>
      <c r="G1263" s="66">
        <v>46092</v>
      </c>
      <c r="H1263" s="45" t="str">
        <f>IF(ISNUMBER(E1263),F1263-E1263,"N/A")</f>
        <v>N/A</v>
      </c>
      <c r="I1263" s="46" t="str">
        <f>IF(E1263&lt;&gt;"",IF(F1263=E1263,"No Change",IF(F1263&gt;E1263,"Increase","Decrease")),"New")</f>
        <v>Increase</v>
      </c>
      <c r="J1263" s="58" t="s">
        <v>122</v>
      </c>
      <c r="K1263" s="59" t="str">
        <f>IF(LEN(J1263)&gt;0,IF(OR(ISLOGICAL(J1263),J1263="TRUE"),"Yes",""),"")</f>
      </c>
      <c r="L1263" s="59"/>
      <c r="M1263" s="59"/>
      <c r="N1263" s="62" t="str">
        <f>IF(LEN(M1263)&gt;0,IF(OR(ISLOGICAL(M1263),M1263="TRUE"),"Yes",""),"")</f>
      </c>
      <c r="O1263" s="59"/>
      <c r="P1263" s="62" t="str">
        <f>IF(LEN(O1263)&gt;0,IF(OR(ISLOGICAL(O1263),O1263="TRUE"),"Yes",""),"")</f>
      </c>
      <c r="Q1263" s="62" t="s">
        <v>104</v>
      </c>
      <c r="R1263" s="63"/>
    </row>
    <row r="1264" spans="1:18" s="47" customFormat="1" ht="51">
      <c r="A1264" s="63" t="s">
        <v>2602</v>
      </c>
      <c r="B1264" s="63" t="s">
        <v>96</v>
      </c>
      <c r="C1264" s="63" t="s">
        <v>2603</v>
      </c>
      <c r="D1264" s="61"/>
      <c r="E1264" s="45">
        <v>0.045</v>
      </c>
      <c r="F1264" s="45">
        <v>0.045</v>
      </c>
      <c r="G1264" s="66">
        <v>46078</v>
      </c>
      <c r="H1264" s="45" t="str">
        <f>IF(ISNUMBER(E1264),F1264-E1264,"N/A")</f>
        <v>N/A</v>
      </c>
      <c r="I1264" s="46" t="str">
        <f>IF(E1264&lt;&gt;"",IF(F1264=E1264,"No Change",IF(F1264&gt;E1264,"Increase","Decrease")),"New")</f>
        <v>Increase</v>
      </c>
      <c r="J1264" s="58" t="s">
        <v>122</v>
      </c>
      <c r="K1264" s="59" t="str">
        <f>IF(LEN(J1264)&gt;0,IF(OR(ISLOGICAL(J1264),J1264="TRUE"),"Yes",""),"")</f>
      </c>
      <c r="L1264" s="59"/>
      <c r="M1264" s="59"/>
      <c r="N1264" s="62" t="str">
        <f>IF(LEN(M1264)&gt;0,IF(OR(ISLOGICAL(M1264),M1264="TRUE"),"Yes",""),"")</f>
      </c>
      <c r="O1264" s="59"/>
      <c r="P1264" s="62" t="str">
        <f>IF(LEN(O1264)&gt;0,IF(OR(ISLOGICAL(O1264),O1264="TRUE"),"Yes",""),"")</f>
      </c>
      <c r="Q1264" s="62" t="s">
        <v>104</v>
      </c>
      <c r="R1264" s="63"/>
    </row>
    <row r="1265" spans="1:18" s="47" customFormat="1" ht="51">
      <c r="A1265" s="63" t="s">
        <v>2604</v>
      </c>
      <c r="B1265" s="63" t="s">
        <v>96</v>
      </c>
      <c r="C1265" s="63" t="s">
        <v>2605</v>
      </c>
      <c r="D1265" s="61"/>
      <c r="E1265" s="45">
        <v>0.045</v>
      </c>
      <c r="F1265" s="45">
        <v>0.045</v>
      </c>
      <c r="G1265" s="66">
        <v>46078</v>
      </c>
      <c r="H1265" s="45" t="str">
        <f>IF(ISNUMBER(E1265),F1265-E1265,"N/A")</f>
        <v>N/A</v>
      </c>
      <c r="I1265" s="46" t="str">
        <f>IF(E1265&lt;&gt;"",IF(F1265=E1265,"No Change",IF(F1265&gt;E1265,"Increase","Decrease")),"New")</f>
        <v>Increase</v>
      </c>
      <c r="J1265" s="58" t="s">
        <v>122</v>
      </c>
      <c r="K1265" s="59" t="str">
        <f>IF(LEN(J1265)&gt;0,IF(OR(ISLOGICAL(J1265),J1265="TRUE"),"Yes",""),"")</f>
      </c>
      <c r="L1265" s="59"/>
      <c r="M1265" s="59"/>
      <c r="N1265" s="62" t="str">
        <f>IF(LEN(M1265)&gt;0,IF(OR(ISLOGICAL(M1265),M1265="TRUE"),"Yes",""),"")</f>
      </c>
      <c r="O1265" s="59"/>
      <c r="P1265" s="62" t="str">
        <f>IF(LEN(O1265)&gt;0,IF(OR(ISLOGICAL(O1265),O1265="TRUE"),"Yes",""),"")</f>
      </c>
      <c r="Q1265" s="62" t="s">
        <v>104</v>
      </c>
      <c r="R1265" s="63"/>
    </row>
    <row r="1266" spans="1:18" s="47" customFormat="1" ht="51">
      <c r="A1266" s="63" t="s">
        <v>2606</v>
      </c>
      <c r="B1266" s="63" t="s">
        <v>96</v>
      </c>
      <c r="C1266" s="63" t="s">
        <v>2607</v>
      </c>
      <c r="D1266" s="61"/>
      <c r="E1266" s="45">
        <v>0.045</v>
      </c>
      <c r="F1266" s="45">
        <v>0.045</v>
      </c>
      <c r="G1266" s="66">
        <v>46078</v>
      </c>
      <c r="H1266" s="45" t="str">
        <f>IF(ISNUMBER(E1266),F1266-E1266,"N/A")</f>
        <v>N/A</v>
      </c>
      <c r="I1266" s="46" t="str">
        <f>IF(E1266&lt;&gt;"",IF(F1266=E1266,"No Change",IF(F1266&gt;E1266,"Increase","Decrease")),"New")</f>
        <v>Increase</v>
      </c>
      <c r="J1266" s="58"/>
      <c r="K1266" s="59" t="str">
        <f>IF(LEN(J1266)&gt;0,IF(OR(ISLOGICAL(J1266),J1266="TRUE"),"Yes",""),"")</f>
      </c>
      <c r="L1266" s="59"/>
      <c r="M1266" s="59"/>
      <c r="N1266" s="62" t="str">
        <f>IF(LEN(M1266)&gt;0,IF(OR(ISLOGICAL(M1266),M1266="TRUE"),"Yes",""),"")</f>
      </c>
      <c r="O1266" s="59"/>
      <c r="P1266" s="62" t="str">
        <f>IF(LEN(O1266)&gt;0,IF(OR(ISLOGICAL(O1266),O1266="TRUE"),"Yes",""),"")</f>
      </c>
      <c r="Q1266" s="62" t="s">
        <v>104</v>
      </c>
      <c r="R1266" s="63"/>
    </row>
    <row r="1267" spans="1:18" s="47" customFormat="1" ht="51">
      <c r="A1267" s="63" t="s">
        <v>2608</v>
      </c>
      <c r="B1267" s="63" t="s">
        <v>96</v>
      </c>
      <c r="C1267" s="63" t="s">
        <v>2609</v>
      </c>
      <c r="D1267" s="61"/>
      <c r="E1267" s="45">
        <v>0.045</v>
      </c>
      <c r="F1267" s="45">
        <v>0.045</v>
      </c>
      <c r="G1267" s="66">
        <v>46082</v>
      </c>
      <c r="H1267" s="45" t="str">
        <f>IF(ISNUMBER(E1267),F1267-E1267,"N/A")</f>
        <v>N/A</v>
      </c>
      <c r="I1267" s="46" t="str">
        <f>IF(E1267&lt;&gt;"",IF(F1267=E1267,"No Change",IF(F1267&gt;E1267,"Increase","Decrease")),"New")</f>
        <v>Increase</v>
      </c>
      <c r="J1267" s="58"/>
      <c r="K1267" s="59" t="str">
        <f>IF(LEN(J1267)&gt;0,IF(OR(ISLOGICAL(J1267),J1267="TRUE"),"Yes",""),"")</f>
      </c>
      <c r="L1267" s="59"/>
      <c r="M1267" s="59"/>
      <c r="N1267" s="62" t="str">
        <f>IF(LEN(M1267)&gt;0,IF(OR(ISLOGICAL(M1267),M1267="TRUE"),"Yes",""),"")</f>
      </c>
      <c r="O1267" s="59"/>
      <c r="P1267" s="62" t="str">
        <f>IF(LEN(O1267)&gt;0,IF(OR(ISLOGICAL(O1267),O1267="TRUE"),"Yes",""),"")</f>
      </c>
      <c r="Q1267" s="62" t="s">
        <v>104</v>
      </c>
      <c r="R1267" s="63"/>
    </row>
    <row r="1268" spans="1:18" s="47" customFormat="1" ht="51">
      <c r="A1268" s="63" t="s">
        <v>2610</v>
      </c>
      <c r="B1268" s="63" t="s">
        <v>96</v>
      </c>
      <c r="C1268" s="63" t="s">
        <v>2611</v>
      </c>
      <c r="D1268" s="61"/>
      <c r="E1268" s="45">
        <v>0.045</v>
      </c>
      <c r="F1268" s="45">
        <v>0.045</v>
      </c>
      <c r="G1268" s="66">
        <v>46082</v>
      </c>
      <c r="H1268" s="45" t="str">
        <f>IF(ISNUMBER(E1268),F1268-E1268,"N/A")</f>
        <v>N/A</v>
      </c>
      <c r="I1268" s="46" t="str">
        <f>IF(E1268&lt;&gt;"",IF(F1268=E1268,"No Change",IF(F1268&gt;E1268,"Increase","Decrease")),"New")</f>
        <v>Increase</v>
      </c>
      <c r="J1268" s="58"/>
      <c r="K1268" s="59" t="str">
        <f>IF(LEN(J1268)&gt;0,IF(OR(ISLOGICAL(J1268),J1268="TRUE"),"Yes",""),"")</f>
      </c>
      <c r="L1268" s="59"/>
      <c r="M1268" s="59"/>
      <c r="N1268" s="62" t="str">
        <f>IF(LEN(M1268)&gt;0,IF(OR(ISLOGICAL(M1268),M1268="TRUE"),"Yes",""),"")</f>
      </c>
      <c r="O1268" s="59"/>
      <c r="P1268" s="62" t="str">
        <f>IF(LEN(O1268)&gt;0,IF(OR(ISLOGICAL(O1268),O1268="TRUE"),"Yes",""),"")</f>
      </c>
      <c r="Q1268" s="62" t="s">
        <v>104</v>
      </c>
      <c r="R1268" s="63"/>
    </row>
    <row r="1269" spans="1:18" s="47" customFormat="1" ht="51">
      <c r="A1269" s="63" t="s">
        <v>2612</v>
      </c>
      <c r="B1269" s="63" t="s">
        <v>96</v>
      </c>
      <c r="C1269" s="63" t="s">
        <v>2613</v>
      </c>
      <c r="D1269" s="61"/>
      <c r="E1269" s="45">
        <v>0.045</v>
      </c>
      <c r="F1269" s="45">
        <v>0.045</v>
      </c>
      <c r="G1269" s="66">
        <v>46082</v>
      </c>
      <c r="H1269" s="45" t="str">
        <f>IF(ISNUMBER(E1269),F1269-E1269,"N/A")</f>
        <v>N/A</v>
      </c>
      <c r="I1269" s="46" t="str">
        <f>IF(E1269&lt;&gt;"",IF(F1269=E1269,"No Change",IF(F1269&gt;E1269,"Increase","Decrease")),"New")</f>
        <v>Increase</v>
      </c>
      <c r="J1269" s="58"/>
      <c r="K1269" s="59" t="str">
        <f>IF(LEN(J1269)&gt;0,IF(OR(ISLOGICAL(J1269),J1269="TRUE"),"Yes",""),"")</f>
      </c>
      <c r="L1269" s="59"/>
      <c r="M1269" s="59"/>
      <c r="N1269" s="62" t="str">
        <f>IF(LEN(M1269)&gt;0,IF(OR(ISLOGICAL(M1269),M1269="TRUE"),"Yes",""),"")</f>
      </c>
      <c r="O1269" s="59"/>
      <c r="P1269" s="62" t="str">
        <f>IF(LEN(O1269)&gt;0,IF(OR(ISLOGICAL(O1269),O1269="TRUE"),"Yes",""),"")</f>
      </c>
      <c r="Q1269" s="62" t="s">
        <v>104</v>
      </c>
      <c r="R1269" s="63"/>
    </row>
    <row r="1270" spans="1:18" s="47" customFormat="1" ht="51">
      <c r="A1270" s="63" t="s">
        <v>2614</v>
      </c>
      <c r="B1270" s="63" t="s">
        <v>96</v>
      </c>
      <c r="C1270" s="63" t="s">
        <v>2615</v>
      </c>
      <c r="D1270" s="61"/>
      <c r="E1270" s="45">
        <v>10</v>
      </c>
      <c r="F1270" s="45">
        <v>10</v>
      </c>
      <c r="G1270" s="66">
        <v>46082</v>
      </c>
      <c r="H1270" s="45" t="str">
        <f>IF(ISNUMBER(E1270),F1270-E1270,"N/A")</f>
        <v>N/A</v>
      </c>
      <c r="I1270" s="46" t="str">
        <f>IF(E1270&lt;&gt;"",IF(F1270=E1270,"No Change",IF(F1270&gt;E1270,"Increase","Decrease")),"New")</f>
        <v>Increase</v>
      </c>
      <c r="J1270" s="58"/>
      <c r="K1270" s="59" t="str">
        <f>IF(LEN(J1270)&gt;0,IF(OR(ISLOGICAL(J1270),J1270="TRUE"),"Yes",""),"")</f>
      </c>
      <c r="L1270" s="59"/>
      <c r="M1270" s="59"/>
      <c r="N1270" s="62" t="str">
        <f>IF(LEN(M1270)&gt;0,IF(OR(ISLOGICAL(M1270),M1270="TRUE"),"Yes",""),"")</f>
      </c>
      <c r="O1270" s="59"/>
      <c r="P1270" s="62" t="str">
        <f>IF(LEN(O1270)&gt;0,IF(OR(ISLOGICAL(O1270),O1270="TRUE"),"Yes",""),"")</f>
      </c>
      <c r="Q1270" s="62" t="s">
        <v>98</v>
      </c>
      <c r="R1270" s="63"/>
    </row>
    <row r="1271" spans="1:18" s="47" customFormat="1" ht="51">
      <c r="A1271" s="63" t="s">
        <v>2616</v>
      </c>
      <c r="B1271" s="63" t="s">
        <v>96</v>
      </c>
      <c r="C1271" s="63" t="s">
        <v>2617</v>
      </c>
      <c r="D1271" s="61"/>
      <c r="E1271" s="45">
        <v>0.323</v>
      </c>
      <c r="F1271" s="45">
        <v>0.323</v>
      </c>
      <c r="G1271" s="66">
        <v>46036</v>
      </c>
      <c r="H1271" s="45" t="str">
        <f>IF(ISNUMBER(E1271),F1271-E1271,"N/A")</f>
        <v>N/A</v>
      </c>
      <c r="I1271" s="46" t="str">
        <f>IF(E1271&lt;&gt;"",IF(F1271=E1271,"No Change",IF(F1271&gt;E1271,"Increase","Decrease")),"New")</f>
        <v>Increase</v>
      </c>
      <c r="J1271" s="58"/>
      <c r="K1271" s="59" t="str">
        <f>IF(LEN(J1271)&gt;0,IF(OR(ISLOGICAL(J1271),J1271="TRUE"),"Yes",""),"")</f>
      </c>
      <c r="L1271" s="59"/>
      <c r="M1271" s="59"/>
      <c r="N1271" s="62" t="str">
        <f>IF(LEN(M1271)&gt;0,IF(OR(ISLOGICAL(M1271),M1271="TRUE"),"Yes",""),"")</f>
      </c>
      <c r="O1271" s="59"/>
      <c r="P1271" s="62" t="str">
        <f>IF(LEN(O1271)&gt;0,IF(OR(ISLOGICAL(O1271),O1271="TRUE"),"Yes",""),"")</f>
      </c>
      <c r="Q1271" s="62" t="s">
        <v>109</v>
      </c>
      <c r="R1271" s="63"/>
    </row>
    <row r="1272" spans="1:18" s="47" customFormat="1" ht="51">
      <c r="A1272" s="63" t="s">
        <v>2618</v>
      </c>
      <c r="B1272" s="63" t="s">
        <v>96</v>
      </c>
      <c r="C1272" s="63" t="s">
        <v>2619</v>
      </c>
      <c r="D1272" s="61"/>
      <c r="E1272" s="45">
        <v>0.1072</v>
      </c>
      <c r="F1272" s="45">
        <v>0.1072</v>
      </c>
      <c r="G1272" s="66">
        <v>45854</v>
      </c>
      <c r="H1272" s="45" t="str">
        <f>IF(ISNUMBER(E1272),F1272-E1272,"N/A")</f>
        <v>N/A</v>
      </c>
      <c r="I1272" s="46" t="str">
        <f>IF(E1272&lt;&gt;"",IF(F1272=E1272,"No Change",IF(F1272&gt;E1272,"Increase","Decrease")),"New")</f>
        <v>Increase</v>
      </c>
      <c r="J1272" s="58"/>
      <c r="K1272" s="59" t="str">
        <f>IF(LEN(J1272)&gt;0,IF(OR(ISLOGICAL(J1272),J1272="TRUE"),"Yes",""),"")</f>
      </c>
      <c r="L1272" s="59"/>
      <c r="M1272" s="59"/>
      <c r="N1272" s="62" t="str">
        <f>IF(LEN(M1272)&gt;0,IF(OR(ISLOGICAL(M1272),M1272="TRUE"),"Yes",""),"")</f>
      </c>
      <c r="O1272" s="59"/>
      <c r="P1272" s="62" t="str">
        <f>IF(LEN(O1272)&gt;0,IF(OR(ISLOGICAL(O1272),O1272="TRUE"),"Yes",""),"")</f>
      </c>
      <c r="Q1272" s="62" t="s">
        <v>98</v>
      </c>
      <c r="R1272" s="63"/>
    </row>
    <row r="1273" spans="1:18" s="47" customFormat="1" ht="51">
      <c r="A1273" s="63" t="s">
        <v>2620</v>
      </c>
      <c r="B1273" s="63" t="s">
        <v>96</v>
      </c>
      <c r="C1273" s="63" t="s">
        <v>2621</v>
      </c>
      <c r="D1273" s="61"/>
      <c r="E1273" s="45">
        <v>0.1058</v>
      </c>
      <c r="F1273" s="45">
        <v>0.1058</v>
      </c>
      <c r="G1273" s="66">
        <v>45917</v>
      </c>
      <c r="H1273" s="45" t="str">
        <f>IF(ISNUMBER(E1273),F1273-E1273,"N/A")</f>
        <v>N/A</v>
      </c>
      <c r="I1273" s="46" t="str">
        <f>IF(E1273&lt;&gt;"",IF(F1273=E1273,"No Change",IF(F1273&gt;E1273,"Increase","Decrease")),"New")</f>
        <v>Increase</v>
      </c>
      <c r="J1273" s="58" t="s">
        <v>122</v>
      </c>
      <c r="K1273" s="59" t="str">
        <f>IF(LEN(J1273)&gt;0,IF(OR(ISLOGICAL(J1273),J1273="TRUE"),"Yes",""),"")</f>
      </c>
      <c r="L1273" s="59"/>
      <c r="M1273" s="59"/>
      <c r="N1273" s="62" t="str">
        <f>IF(LEN(M1273)&gt;0,IF(OR(ISLOGICAL(M1273),M1273="TRUE"),"Yes",""),"")</f>
      </c>
      <c r="O1273" s="59"/>
      <c r="P1273" s="62" t="str">
        <f>IF(LEN(O1273)&gt;0,IF(OR(ISLOGICAL(O1273),O1273="TRUE"),"Yes",""),"")</f>
      </c>
      <c r="Q1273" s="62" t="s">
        <v>98</v>
      </c>
      <c r="R1273" s="63"/>
    </row>
    <row r="1274" spans="1:18" s="47" customFormat="1" ht="51">
      <c r="A1274" s="63" t="s">
        <v>2622</v>
      </c>
      <c r="B1274" s="63" t="s">
        <v>96</v>
      </c>
      <c r="C1274" s="63" t="s">
        <v>2623</v>
      </c>
      <c r="D1274" s="61"/>
      <c r="E1274" s="45">
        <v>0.1058</v>
      </c>
      <c r="F1274" s="45">
        <v>0.1058</v>
      </c>
      <c r="G1274" s="66">
        <v>45917</v>
      </c>
      <c r="H1274" s="45" t="str">
        <f>IF(ISNUMBER(E1274),F1274-E1274,"N/A")</f>
        <v>N/A</v>
      </c>
      <c r="I1274" s="46" t="str">
        <f>IF(E1274&lt;&gt;"",IF(F1274=E1274,"No Change",IF(F1274&gt;E1274,"Increase","Decrease")),"New")</f>
        <v>Increase</v>
      </c>
      <c r="J1274" s="58" t="s">
        <v>122</v>
      </c>
      <c r="K1274" s="59" t="str">
        <f>IF(LEN(J1274)&gt;0,IF(OR(ISLOGICAL(J1274),J1274="TRUE"),"Yes",""),"")</f>
      </c>
      <c r="L1274" s="59"/>
      <c r="M1274" s="59"/>
      <c r="N1274" s="62" t="str">
        <f>IF(LEN(M1274)&gt;0,IF(OR(ISLOGICAL(M1274),M1274="TRUE"),"Yes",""),"")</f>
      </c>
      <c r="O1274" s="59"/>
      <c r="P1274" s="62" t="str">
        <f>IF(LEN(O1274)&gt;0,IF(OR(ISLOGICAL(O1274),O1274="TRUE"),"Yes",""),"")</f>
      </c>
      <c r="Q1274" s="62" t="s">
        <v>98</v>
      </c>
      <c r="R1274" s="63"/>
    </row>
    <row r="1275" spans="1:18" s="47" customFormat="1" ht="51">
      <c r="A1275" s="63" t="s">
        <v>2624</v>
      </c>
      <c r="B1275" s="63" t="s">
        <v>96</v>
      </c>
      <c r="C1275" s="63" t="s">
        <v>2625</v>
      </c>
      <c r="D1275" s="61"/>
      <c r="E1275" s="45">
        <v>0.1058</v>
      </c>
      <c r="F1275" s="45">
        <v>0.1058</v>
      </c>
      <c r="G1275" s="66">
        <v>45917</v>
      </c>
      <c r="H1275" s="45" t="str">
        <f>IF(ISNUMBER(E1275),F1275-E1275,"N/A")</f>
        <v>N/A</v>
      </c>
      <c r="I1275" s="46" t="str">
        <f>IF(E1275&lt;&gt;"",IF(F1275=E1275,"No Change",IF(F1275&gt;E1275,"Increase","Decrease")),"New")</f>
        <v>Increase</v>
      </c>
      <c r="J1275" s="58" t="s">
        <v>122</v>
      </c>
      <c r="K1275" s="59" t="str">
        <f>IF(LEN(J1275)&gt;0,IF(OR(ISLOGICAL(J1275),J1275="TRUE"),"Yes",""),"")</f>
      </c>
      <c r="L1275" s="59"/>
      <c r="M1275" s="59"/>
      <c r="N1275" s="62" t="str">
        <f>IF(LEN(M1275)&gt;0,IF(OR(ISLOGICAL(M1275),M1275="TRUE"),"Yes",""),"")</f>
      </c>
      <c r="O1275" s="59"/>
      <c r="P1275" s="62" t="str">
        <f>IF(LEN(O1275)&gt;0,IF(OR(ISLOGICAL(O1275),O1275="TRUE"),"Yes",""),"")</f>
      </c>
      <c r="Q1275" s="62" t="s">
        <v>98</v>
      </c>
      <c r="R1275" s="63"/>
    </row>
    <row r="1276" spans="1:18" s="47" customFormat="1" ht="51">
      <c r="A1276" s="63" t="s">
        <v>2626</v>
      </c>
      <c r="B1276" s="63" t="s">
        <v>96</v>
      </c>
      <c r="C1276" s="63" t="s">
        <v>2627</v>
      </c>
      <c r="D1276" s="61"/>
      <c r="E1276" s="45">
        <v>0.38</v>
      </c>
      <c r="F1276" s="45">
        <v>0.38</v>
      </c>
      <c r="G1276" s="66">
        <v>46113</v>
      </c>
      <c r="H1276" s="45" t="str">
        <f>IF(ISNUMBER(E1276),F1276-E1276,"N/A")</f>
        <v>N/A</v>
      </c>
      <c r="I1276" s="46" t="str">
        <f>IF(E1276&lt;&gt;"",IF(F1276=E1276,"No Change",IF(F1276&gt;E1276,"Increase","Decrease")),"New")</f>
        <v>Increase</v>
      </c>
      <c r="J1276" s="58"/>
      <c r="K1276" s="59" t="str">
        <f>IF(LEN(J1276)&gt;0,IF(OR(ISLOGICAL(J1276),J1276="TRUE"),"Yes",""),"")</f>
      </c>
      <c r="L1276" s="59"/>
      <c r="M1276" s="59"/>
      <c r="N1276" s="62" t="str">
        <f>IF(LEN(M1276)&gt;0,IF(OR(ISLOGICAL(M1276),M1276="TRUE"),"Yes",""),"")</f>
      </c>
      <c r="O1276" s="59"/>
      <c r="P1276" s="62" t="str">
        <f>IF(LEN(O1276)&gt;0,IF(OR(ISLOGICAL(O1276),O1276="TRUE"),"Yes",""),"")</f>
      </c>
      <c r="Q1276" s="62" t="s">
        <v>98</v>
      </c>
      <c r="R1276" s="63"/>
    </row>
    <row r="1277" spans="1:18" s="47" customFormat="1" ht="51">
      <c r="A1277" s="63" t="s">
        <v>2628</v>
      </c>
      <c r="B1277" s="63" t="s">
        <v>96</v>
      </c>
      <c r="C1277" s="63" t="s">
        <v>2629</v>
      </c>
      <c r="D1277" s="61"/>
      <c r="E1277" s="45">
        <v>0.3475</v>
      </c>
      <c r="F1277" s="45">
        <v>0.3475</v>
      </c>
      <c r="G1277" s="66">
        <v>46127</v>
      </c>
      <c r="H1277" s="45" t="str">
        <f>IF(ISNUMBER(E1277),F1277-E1277,"N/A")</f>
        <v>N/A</v>
      </c>
      <c r="I1277" s="46" t="str">
        <f>IF(E1277&lt;&gt;"",IF(F1277=E1277,"No Change",IF(F1277&gt;E1277,"Increase","Decrease")),"New")</f>
        <v>Increase</v>
      </c>
      <c r="J1277" s="58" t="s">
        <v>122</v>
      </c>
      <c r="K1277" s="59" t="str">
        <f>IF(LEN(J1277)&gt;0,IF(OR(ISLOGICAL(J1277),J1277="TRUE"),"Yes",""),"")</f>
      </c>
      <c r="L1277" s="59"/>
      <c r="M1277" s="59"/>
      <c r="N1277" s="62" t="str">
        <f>IF(LEN(M1277)&gt;0,IF(OR(ISLOGICAL(M1277),M1277="TRUE"),"Yes",""),"")</f>
      </c>
      <c r="O1277" s="59"/>
      <c r="P1277" s="62" t="str">
        <f>IF(LEN(O1277)&gt;0,IF(OR(ISLOGICAL(O1277),O1277="TRUE"),"Yes",""),"")</f>
      </c>
      <c r="Q1277" s="62" t="s">
        <v>98</v>
      </c>
      <c r="R1277" s="63"/>
    </row>
    <row r="1278" spans="1:18" s="47" customFormat="1" ht="51">
      <c r="A1278" s="63" t="s">
        <v>2630</v>
      </c>
      <c r="B1278" s="63" t="s">
        <v>96</v>
      </c>
      <c r="C1278" s="63" t="s">
        <v>2631</v>
      </c>
      <c r="D1278" s="61"/>
      <c r="E1278" s="45">
        <v>0.38</v>
      </c>
      <c r="F1278" s="45">
        <v>0.38</v>
      </c>
      <c r="G1278" s="66">
        <v>45847</v>
      </c>
      <c r="H1278" s="45" t="str">
        <f>IF(ISNUMBER(E1278),F1278-E1278,"N/A")</f>
        <v>N/A</v>
      </c>
      <c r="I1278" s="46" t="str">
        <f>IF(E1278&lt;&gt;"",IF(F1278=E1278,"No Change",IF(F1278&gt;E1278,"Increase","Decrease")),"New")</f>
        <v>Increase</v>
      </c>
      <c r="J1278" s="58" t="s">
        <v>122</v>
      </c>
      <c r="K1278" s="59" t="str">
        <f>IF(LEN(J1278)&gt;0,IF(OR(ISLOGICAL(J1278),J1278="TRUE"),"Yes",""),"")</f>
      </c>
      <c r="L1278" s="59"/>
      <c r="M1278" s="59"/>
      <c r="N1278" s="62" t="str">
        <f>IF(LEN(M1278)&gt;0,IF(OR(ISLOGICAL(M1278),M1278="TRUE"),"Yes",""),"")</f>
      </c>
      <c r="O1278" s="59"/>
      <c r="P1278" s="62" t="str">
        <f>IF(LEN(O1278)&gt;0,IF(OR(ISLOGICAL(O1278),O1278="TRUE"),"Yes",""),"")</f>
      </c>
      <c r="Q1278" s="62" t="s">
        <v>109</v>
      </c>
      <c r="R1278" s="63"/>
    </row>
    <row r="1279" spans="1:18" s="47" customFormat="1" ht="51">
      <c r="A1279" s="63" t="s">
        <v>2632</v>
      </c>
      <c r="B1279" s="63" t="s">
        <v>96</v>
      </c>
      <c r="C1279" s="63" t="s">
        <v>2633</v>
      </c>
      <c r="D1279" s="61"/>
      <c r="E1279" s="45">
        <v>0.3</v>
      </c>
      <c r="F1279" s="45">
        <v>0.3</v>
      </c>
      <c r="G1279" s="66">
        <v>46092</v>
      </c>
      <c r="H1279" s="45" t="str">
        <f>IF(ISNUMBER(E1279),F1279-E1279,"N/A")</f>
        <v>N/A</v>
      </c>
      <c r="I1279" s="46" t="str">
        <f>IF(E1279&lt;&gt;"",IF(F1279=E1279,"No Change",IF(F1279&gt;E1279,"Increase","Decrease")),"New")</f>
        <v>Increase</v>
      </c>
      <c r="J1279" s="58" t="s">
        <v>122</v>
      </c>
      <c r="K1279" s="59" t="str">
        <f>IF(LEN(J1279)&gt;0,IF(OR(ISLOGICAL(J1279),J1279="TRUE"),"Yes",""),"")</f>
      </c>
      <c r="L1279" s="59"/>
      <c r="M1279" s="59"/>
      <c r="N1279" s="62" t="str">
        <f>IF(LEN(M1279)&gt;0,IF(OR(ISLOGICAL(M1279),M1279="TRUE"),"Yes",""),"")</f>
      </c>
      <c r="O1279" s="59"/>
      <c r="P1279" s="62" t="str">
        <f>IF(LEN(O1279)&gt;0,IF(OR(ISLOGICAL(O1279),O1279="TRUE"),"Yes",""),"")</f>
      </c>
      <c r="Q1279" s="62" t="s">
        <v>98</v>
      </c>
      <c r="R1279" s="63"/>
    </row>
    <row r="1280" spans="1:18" s="47" customFormat="1" ht="51">
      <c r="A1280" s="63" t="s">
        <v>2634</v>
      </c>
      <c r="B1280" s="63" t="s">
        <v>96</v>
      </c>
      <c r="C1280" s="63" t="s">
        <v>2635</v>
      </c>
      <c r="D1280" s="61"/>
      <c r="E1280" s="45">
        <v>0.21</v>
      </c>
      <c r="F1280" s="45">
        <v>0.21</v>
      </c>
      <c r="G1280" s="66">
        <v>46074</v>
      </c>
      <c r="H1280" s="45" t="str">
        <f>IF(ISNUMBER(E1280),F1280-E1280,"N/A")</f>
        <v>N/A</v>
      </c>
      <c r="I1280" s="46" t="str">
        <f>IF(E1280&lt;&gt;"",IF(F1280=E1280,"No Change",IF(F1280&gt;E1280,"Increase","Decrease")),"New")</f>
        <v>Increase</v>
      </c>
      <c r="J1280" s="58"/>
      <c r="K1280" s="59" t="str">
        <f>IF(LEN(J1280)&gt;0,IF(OR(ISLOGICAL(J1280),J1280="TRUE"),"Yes",""),"")</f>
      </c>
      <c r="L1280" s="59"/>
      <c r="M1280" s="59"/>
      <c r="N1280" s="62" t="str">
        <f>IF(LEN(M1280)&gt;0,IF(OR(ISLOGICAL(M1280),M1280="TRUE"),"Yes",""),"")</f>
      </c>
      <c r="O1280" s="59"/>
      <c r="P1280" s="62" t="str">
        <f>IF(LEN(O1280)&gt;0,IF(OR(ISLOGICAL(O1280),O1280="TRUE"),"Yes",""),"")</f>
      </c>
      <c r="Q1280" s="62" t="s">
        <v>98</v>
      </c>
      <c r="R1280" s="63"/>
    </row>
    <row r="1281" spans="1:18" s="47" customFormat="1" ht="51">
      <c r="A1281" s="63" t="s">
        <v>2636</v>
      </c>
      <c r="B1281" s="63" t="s">
        <v>96</v>
      </c>
      <c r="C1281" s="63" t="s">
        <v>2637</v>
      </c>
      <c r="D1281" s="61"/>
      <c r="E1281" s="45">
        <v>0.445</v>
      </c>
      <c r="F1281" s="45">
        <v>0.445</v>
      </c>
      <c r="G1281" s="66">
        <v>45945</v>
      </c>
      <c r="H1281" s="45" t="str">
        <f>IF(ISNUMBER(E1281),F1281-E1281,"N/A")</f>
        <v>N/A</v>
      </c>
      <c r="I1281" s="46" t="str">
        <f>IF(E1281&lt;&gt;"",IF(F1281=E1281,"No Change",IF(F1281&gt;E1281,"Increase","Decrease")),"New")</f>
        <v>Increase</v>
      </c>
      <c r="J1281" s="58" t="s">
        <v>122</v>
      </c>
      <c r="K1281" s="59" t="str">
        <f>IF(LEN(J1281)&gt;0,IF(OR(ISLOGICAL(J1281),J1281="TRUE"),"Yes",""),"")</f>
      </c>
      <c r="L1281" s="59"/>
      <c r="M1281" s="59"/>
      <c r="N1281" s="62" t="str">
        <f>IF(LEN(M1281)&gt;0,IF(OR(ISLOGICAL(M1281),M1281="TRUE"),"Yes",""),"")</f>
      </c>
      <c r="O1281" s="59"/>
      <c r="P1281" s="62" t="str">
        <f>IF(LEN(O1281)&gt;0,IF(OR(ISLOGICAL(O1281),O1281="TRUE"),"Yes",""),"")</f>
      </c>
      <c r="Q1281" s="62" t="s">
        <v>98</v>
      </c>
      <c r="R1281" s="63"/>
    </row>
    <row r="1282" spans="1:18" s="47" customFormat="1" ht="51">
      <c r="A1282" s="63" t="s">
        <v>2638</v>
      </c>
      <c r="B1282" s="63" t="s">
        <v>96</v>
      </c>
      <c r="C1282" s="63" t="s">
        <v>2639</v>
      </c>
      <c r="D1282" s="61"/>
      <c r="E1282" s="45">
        <v>0.6</v>
      </c>
      <c r="F1282" s="45">
        <v>0.6</v>
      </c>
      <c r="G1282" s="66">
        <v>45352</v>
      </c>
      <c r="H1282" s="45" t="str">
        <f>IF(ISNUMBER(E1282),F1282-E1282,"N/A")</f>
        <v>N/A</v>
      </c>
      <c r="I1282" s="46" t="str">
        <f>IF(E1282&lt;&gt;"",IF(F1282=E1282,"No Change",IF(F1282&gt;E1282,"Increase","Decrease")),"New")</f>
        <v>Increase</v>
      </c>
      <c r="J1282" s="58" t="s">
        <v>122</v>
      </c>
      <c r="K1282" s="59" t="str">
        <f>IF(LEN(J1282)&gt;0,IF(OR(ISLOGICAL(J1282),J1282="TRUE"),"Yes",""),"")</f>
      </c>
      <c r="L1282" s="59"/>
      <c r="M1282" s="59"/>
      <c r="N1282" s="62" t="str">
        <f>IF(LEN(M1282)&gt;0,IF(OR(ISLOGICAL(M1282),M1282="TRUE"),"Yes",""),"")</f>
      </c>
      <c r="O1282" s="59"/>
      <c r="P1282" s="62" t="str">
        <f>IF(LEN(O1282)&gt;0,IF(OR(ISLOGICAL(O1282),O1282="TRUE"),"Yes",""),"")</f>
      </c>
      <c r="Q1282" s="62" t="s">
        <v>98</v>
      </c>
      <c r="R1282" s="63"/>
    </row>
    <row r="1283" spans="1:18" s="47" customFormat="1" ht="51">
      <c r="A1283" s="63" t="s">
        <v>2640</v>
      </c>
      <c r="B1283" s="63" t="s">
        <v>96</v>
      </c>
      <c r="C1283" s="63" t="s">
        <v>2641</v>
      </c>
      <c r="D1283" s="61"/>
      <c r="E1283" s="45">
        <v>0.27</v>
      </c>
      <c r="F1283" s="45">
        <v>0.27</v>
      </c>
      <c r="G1283" s="66">
        <v>46082</v>
      </c>
      <c r="H1283" s="45" t="str">
        <f>IF(ISNUMBER(E1283),F1283-E1283,"N/A")</f>
        <v>N/A</v>
      </c>
      <c r="I1283" s="46" t="str">
        <f>IF(E1283&lt;&gt;"",IF(F1283=E1283,"No Change",IF(F1283&gt;E1283,"Increase","Decrease")),"New")</f>
        <v>Increase</v>
      </c>
      <c r="J1283" s="58" t="s">
        <v>122</v>
      </c>
      <c r="K1283" s="59" t="str">
        <f>IF(LEN(J1283)&gt;0,IF(OR(ISLOGICAL(J1283),J1283="TRUE"),"Yes",""),"")</f>
      </c>
      <c r="L1283" s="59"/>
      <c r="M1283" s="59"/>
      <c r="N1283" s="62" t="str">
        <f>IF(LEN(M1283)&gt;0,IF(OR(ISLOGICAL(M1283),M1283="TRUE"),"Yes",""),"")</f>
      </c>
      <c r="O1283" s="59"/>
      <c r="P1283" s="62" t="str">
        <f>IF(LEN(O1283)&gt;0,IF(OR(ISLOGICAL(O1283),O1283="TRUE"),"Yes",""),"")</f>
      </c>
      <c r="Q1283" s="62" t="s">
        <v>98</v>
      </c>
      <c r="R1283" s="63"/>
    </row>
    <row r="1284" spans="1:18" s="47" customFormat="1" ht="51">
      <c r="A1284" s="63" t="s">
        <v>2642</v>
      </c>
      <c r="B1284" s="63" t="s">
        <v>96</v>
      </c>
      <c r="C1284" s="63" t="s">
        <v>2643</v>
      </c>
      <c r="D1284" s="61"/>
      <c r="E1284" s="45">
        <v>0.215</v>
      </c>
      <c r="F1284" s="45">
        <v>0.215</v>
      </c>
      <c r="G1284" s="66">
        <v>46082</v>
      </c>
      <c r="H1284" s="45" t="str">
        <f>IF(ISNUMBER(E1284),F1284-E1284,"N/A")</f>
        <v>N/A</v>
      </c>
      <c r="I1284" s="46" t="str">
        <f>IF(E1284&lt;&gt;"",IF(F1284=E1284,"No Change",IF(F1284&gt;E1284,"Increase","Decrease")),"New")</f>
        <v>Increase</v>
      </c>
      <c r="J1284" s="58"/>
      <c r="K1284" s="59" t="str">
        <f>IF(LEN(J1284)&gt;0,IF(OR(ISLOGICAL(J1284),J1284="TRUE"),"Yes",""),"")</f>
      </c>
      <c r="L1284" s="59"/>
      <c r="M1284" s="59"/>
      <c r="N1284" s="62" t="str">
        <f>IF(LEN(M1284)&gt;0,IF(OR(ISLOGICAL(M1284),M1284="TRUE"),"Yes",""),"")</f>
      </c>
      <c r="O1284" s="59"/>
      <c r="P1284" s="62" t="str">
        <f>IF(LEN(O1284)&gt;0,IF(OR(ISLOGICAL(O1284),O1284="TRUE"),"Yes",""),"")</f>
      </c>
      <c r="Q1284" s="62" t="s">
        <v>98</v>
      </c>
      <c r="R1284" s="63"/>
    </row>
  </sheetData>
  <mergeCells>
    <mergeCell ref="B6:C6"/>
    <mergeCell ref="B8:C8"/>
    <mergeCell ref="B9:C9"/>
    <mergeCell ref="B10:C10"/>
  </mergeCells>
  <phoneticPr fontId="0" type="noConversion"/>
  <pageMargins left="0.75" right="0.75" top="1" bottom="1" header="0.5" footer="0.5"/>
  <pageSetup paperSize="9" scale="50" fitToHeight="0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5"/>
  <sheetViews>
    <sheetView workbookViewId="0">
      <selection activeCell="B14" sqref="B14"/>
    </sheetView>
  </sheetViews>
  <sheetFormatPr defaultRowHeight="12.75"/>
  <cols>
    <col min="1" max="1" width="46.42578125" customWidth="1"/>
  </cols>
  <sheetData>
    <row r="1" spans="1:4">
      <c r="A1" t="s">
        <v>47</v>
      </c>
      <c r="B1" t="s">
        <v>91</v>
      </c>
    </row>
    <row r="2" spans="1:4" ht="15.75">
      <c r="A2" t="s">
        <v>49</v>
      </c>
      <c r="B2" t="s">
        <v>2644</v>
      </c>
      <c r="D2" s="53"/>
    </row>
    <row r="3" spans="1:4">
      <c r="A3" t="s">
        <v>51</v>
      </c>
      <c r="B3" t="s">
        <v>92</v>
      </c>
    </row>
    <row r="4" spans="1:4">
      <c r="A4" t="s">
        <v>53</v>
      </c>
      <c r="B4" t="s">
        <v>2645</v>
      </c>
    </row>
    <row r="5" spans="1:4">
      <c r="A5" t="s">
        <v>55</v>
      </c>
      <c r="B5" t="s">
        <v>93</v>
      </c>
    </row>
    <row r="6" spans="1:4">
      <c r="A6" t="s">
        <v>57</v>
      </c>
      <c r="B6" t="s">
        <v>2644</v>
      </c>
    </row>
    <row r="7" spans="1:4">
      <c r="A7" t="s">
        <v>59</v>
      </c>
      <c r="B7" t="s">
        <v>94</v>
      </c>
    </row>
    <row r="8" spans="1:4">
      <c r="A8" t="s">
        <v>61</v>
      </c>
      <c r="B8" t="s">
        <v>2644</v>
      </c>
    </row>
    <row r="9" spans="1:4">
      <c r="A9" t="s">
        <v>38</v>
      </c>
      <c r="B9" t="s">
        <v>2646</v>
      </c>
    </row>
    <row r="10" spans="1:4" ht="15.75">
      <c r="A10" t="s">
        <v>40</v>
      </c>
      <c r="B10" t="s">
        <v>2647</v>
      </c>
      <c r="C10" s="53"/>
    </row>
    <row r="11" spans="1:4">
      <c r="A11" t="s">
        <v>70</v>
      </c>
      <c r="B11" t="s">
        <v>2648</v>
      </c>
    </row>
    <row r="12" spans="1:4" ht="15.75">
      <c r="A12" t="s">
        <v>72</v>
      </c>
      <c r="B12" t="s">
        <v>2649</v>
      </c>
      <c r="C12" s="60"/>
    </row>
    <row r="13" spans="1:4">
      <c r="A13" t="s">
        <v>74</v>
      </c>
      <c r="B13" t="s">
        <v>2650</v>
      </c>
    </row>
    <row r="14" spans="1:4">
      <c r="A14" t="s">
        <v>76</v>
      </c>
      <c r="B14" t="str">
        <f>SUBSTITUTE(TRIM(SUBSTITUTE(SUBSTITUTE(SUBSTITUTE(B13, "ISDN Premium", "ISDN"), "TPL", ""), "Platinum", "")), "PREM", "Premium")</f>
        <v>%%=MasterInfo.PRODUCT_NAME</v>
      </c>
    </row>
    <row r="15" spans="1:4">
      <c r="A15" s="1"/>
    </row>
  </sheetData>
  <phoneticPr fontId="19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 Sheet</vt:lpstr>
      <vt:lpstr>Terms &amp; Conditions</vt:lpstr>
      <vt:lpstr>Pricing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 Jing</dc:creator>
  <cp:lastModifiedBy>Edwin Karundeng</cp:lastModifiedBy>
  <cp:lastPrinted>2003-11-07T05:56:39Z</cp:lastPrinted>
  <dcterms:created xsi:type="dcterms:W3CDTF">2002-09-25T11:48:54Z</dcterms:created>
  <dcterms:modified xsi:type="dcterms:W3CDTF">2023-11-06T13:53:31Z</dcterms:modified>
</cp:coreProperties>
</file>